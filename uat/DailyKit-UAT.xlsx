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OKER GRID" sheetId="2" state="visible" r:id="rId4"/>
    <sheet name="VECTOR" sheetId="3" state="visible" r:id="rId5"/>
    <sheet name="CIPHER" sheetId="4" state="visible" r:id="rId6"/>
    <sheet name="ROTATE LOCK" sheetId="5" state="visible" r:id="rId7"/>
    <sheet name="DIFFERENCE RELA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<sst xmlns="http://schemas.openxmlformats.org/spreadsheetml/2006/main" count="860" uniqueCount="445">
  <si>
    <t xml:space="preserve">DailyKit UAT workbook</t>
  </si>
  <si>
    <t xml:space="preserve">One tab per built game. Fill the Result column from its dropdown (Pass / Fail / N/A). Green and red fills apply automatically. The orange bar near the top of each tab counts your progress live.</t>
  </si>
  <si>
    <t xml:space="preserve">Run the Shared setup block once before starting. Rows marked HTTPS in the Target column must run over the secure route, not plain LAN.</t>
  </si>
  <si>
    <t xml:space="preserve">Glyph rendering is out of scope here; it lives in the separate manual-check run sheet.</t>
  </si>
  <si>
    <t xml:space="preserve">Tab</t>
  </si>
  <si>
    <t xml:space="preserve">Game / status</t>
  </si>
  <si>
    <t xml:space="preserve">POKER GRID</t>
  </si>
  <si>
    <t xml:space="preserve">live</t>
  </si>
  <si>
    <t xml:space="preserve">VECTOR</t>
  </si>
  <si>
    <t xml:space="preserve">CIPHER</t>
  </si>
  <si>
    <t xml:space="preserve">ROTATE LOCK</t>
  </si>
  <si>
    <t xml:space="preserve">built, planned</t>
  </si>
  <si>
    <t xml:space="preserve">DIFFERENCE RELAY</t>
  </si>
  <si>
    <t xml:space="preserve">UAT  —  POKER GRID  (live)</t>
  </si>
  <si>
    <t xml:space="preserve">Rule: Clear the board with connected five-card poker hands. Board 5 wide x 7 tall, 35 cards, gravity down, no refill. Up to 7 hands. NO failure state: play ends when no legal five-card connected hand remains. Graded by tier (Excellent, Great, Good, Fair, Rough) and by cards remaining; a full clear is Perfect Clear. Input: drag a connected path of five, or tap to add and tap to remove.</t>
  </si>
  <si>
    <t xml:space="preserve">Targets: Desktop = Chrome on the computer; iPhone / iPad = iOS Safari. HTTPS flags a row that must run over the secure route (E5), not plain LAN. Glyph rendering is out of scope here; it lives in the separate manual-check run sheet.  Set each Result cell to Pass or Fail from the dropdown; green/red fills apply automatically.</t>
  </si>
  <si>
    <t xml:space="preserve">Shared setup (run once before any sheet)</t>
  </si>
  <si>
    <t xml:space="preserve">E1</t>
  </si>
  <si>
    <t xml:space="preserve">npm ci in the repo (your node_modules is a Windows install; reinstall on the test machine)</t>
  </si>
  <si>
    <t xml:space="preserve">installs clean</t>
  </si>
  <si>
    <t xml:space="preserve">Once</t>
  </si>
  <si>
    <t xml:space="preserve">E2</t>
  </si>
  <si>
    <t xml:space="preserve">npm run build then npm run preview -&gt; http://localhost:4173/</t>
  </si>
  <si>
    <t xml:space="preserve">hub loads with three live cards</t>
  </si>
  <si>
    <t xml:space="preserve">E3</t>
  </si>
  <si>
    <t xml:space="preserve">ROTATE LOCK only: npm run harness -&gt; http://localhost:4173/ (harness build includes planned games and serves /rotate-lock/)</t>
  </si>
  <si>
    <t xml:space="preserve">ROTATE LOCK reachable</t>
  </si>
  <si>
    <t xml:space="preserve">E4</t>
  </si>
  <si>
    <t xml:space="preserve">Device (LAN, layout only): npm run preview -- --host, open the printed Network URL on phone/iPad</t>
  </si>
  <si>
    <t xml:space="preserve">site loads on device</t>
  </si>
  <si>
    <t xml:space="preserve">E5</t>
  </si>
  <si>
    <t xml:space="preserve">Device (HTTPS, for share + offline): Cloudflare Pages preview URL or a TLS tunnel in front of preview</t>
  </si>
  <si>
    <t xml:space="preserve">site loads over https on device</t>
  </si>
  <si>
    <t xml:space="preserve">E6</t>
  </si>
  <si>
    <t xml:space="preserve">Difficulty-feel: append ?d=YYYY-MM-DD to any game URL to jump the local day (dev/harness builds only)</t>
  </si>
  <si>
    <t xml:space="preserve">board changes to that date's puzzle</t>
  </si>
  <si>
    <t xml:space="preserve">1A. Core play</t>
  </si>
  <si>
    <t xml:space="preserve">#</t>
  </si>
  <si>
    <t xml:space="preserve">Step</t>
  </si>
  <si>
    <t xml:space="preserve">Expected</t>
  </si>
  <si>
    <t xml:space="preserve">Target</t>
  </si>
  <si>
    <t xml:space="preserve">Result</t>
  </si>
  <si>
    <t xml:space="preserve">Notes</t>
  </si>
  <si>
    <t xml:space="preserve">1A1</t>
  </si>
  <si>
    <t xml:space="preserve">Open /poker-grid/</t>
  </si>
  <si>
    <t xml:space="preserve">35 cards in a 5x7 grid, all faces legible</t>
  </si>
  <si>
    <t xml:space="preserve">Desktop</t>
  </si>
  <si>
    <t xml:space="preserve">1A2</t>
  </si>
  <si>
    <t xml:space="preserve">Drag a path across five orthogonally adjacent cards forming a pair or better</t>
  </si>
  <si>
    <t xml:space="preserve">selection highlights along the drag; release accepts the hand</t>
  </si>
  <si>
    <t xml:space="preserve">1A3</t>
  </si>
  <si>
    <t xml:space="preserve">Watch after a clear</t>
  </si>
  <si>
    <t xml:space="preserve">the five cards vanish, columns collapse downward, no gaps under a card, no new cards enter</t>
  </si>
  <si>
    <t xml:space="preserve">1A4</t>
  </si>
  <si>
    <t xml:space="preserve">Tap five cards one at a time to build a hand, then tap one to remove it</t>
  </si>
  <si>
    <t xml:space="preserve">tap adds, tap removes, selection count visible</t>
  </si>
  <si>
    <t xml:space="preserve">1A5</t>
  </si>
  <si>
    <t xml:space="preserve">Attempt a five-card selection that is only high card (no pair)</t>
  </si>
  <si>
    <t xml:space="preserve">rejected with a readable reason; board unchanged</t>
  </si>
  <si>
    <t xml:space="preserve">1A6</t>
  </si>
  <si>
    <t xml:space="preserve">Attempt a non-connected five-card set (a gap in the path)</t>
  </si>
  <si>
    <t xml:space="preserve">rejected; board unchanged</t>
  </si>
  <si>
    <t xml:space="preserve">1A7</t>
  </si>
  <si>
    <t xml:space="preserve">Attempt a selection of four or six cards</t>
  </si>
  <si>
    <t xml:space="preserve">rejected; five required</t>
  </si>
  <si>
    <t xml:space="preserve">1A8</t>
  </si>
  <si>
    <t xml:space="preserve">Play until no legal hand remains</t>
  </si>
  <si>
    <t xml:space="preserve">play ends on its own, result screen appears, no error</t>
  </si>
  <si>
    <t xml:space="preserve">1B. Result, tier, share</t>
  </si>
  <si>
    <t xml:space="preserve">1B1</t>
  </si>
  <si>
    <t xml:space="preserve">Reach the result screen</t>
  </si>
  <si>
    <t xml:space="preserve">tier name (Excellent/Great/Good/Fair/Rough), score, cards cleared, share button, countdown</t>
  </si>
  <si>
    <t xml:space="preserve">1B2</t>
  </si>
  <si>
    <t xml:space="preserve">Clear the entire board (7 clean hands; use ?d= to hunt an easy day)</t>
  </si>
  <si>
    <t xml:space="preserve">result reads Perfect Clear and the perfect-clear histogram bucket</t>
  </si>
  <si>
    <t xml:space="preserve">1B3</t>
  </si>
  <si>
    <t xml:space="preserve">Tap the tier to reveal the exact figure</t>
  </si>
  <si>
    <t xml:space="preserve">percentage against best-known appears only on tap, never during play</t>
  </si>
  <si>
    <t xml:space="preserve">1B4</t>
  </si>
  <si>
    <t xml:space="preserve">Press Share on desktop</t>
  </si>
  <si>
    <t xml:space="preserve">copied confirmation; paste gives title + rows + dailykit.providentia.games</t>
  </si>
  <si>
    <t xml:space="preserve">1B5</t>
  </si>
  <si>
    <t xml:space="preserve">Press Share on the phone</t>
  </si>
  <si>
    <t xml:space="preserve">native share sheet opens containing the block</t>
  </si>
  <si>
    <t xml:space="preserve">iPhone HTTPS</t>
  </si>
  <si>
    <t xml:space="preserve">1B6</t>
  </si>
  <si>
    <t xml:space="preserve">Open the stats modal (auto after game, and from the header)</t>
  </si>
  <si>
    <t xml:space="preserve">played, streak uses played not won here, max streak, histogram by cards remaining in fives with perfect clear distinct</t>
  </si>
  <si>
    <t xml:space="preserve">1C. Persistence and lifecycle</t>
  </si>
  <si>
    <t xml:space="preserve">1C1</t>
  </si>
  <si>
    <t xml:space="preserve">Make several hands, reload mid-game</t>
  </si>
  <si>
    <t xml:space="preserve">board and progress restored exactly</t>
  </si>
  <si>
    <t xml:space="preserve">1C2</t>
  </si>
  <si>
    <t xml:space="preserve">Make a hand, hard-close the tab, reopen</t>
  </si>
  <si>
    <t xml:space="preserve">progress persisted (save on every mutation)</t>
  </si>
  <si>
    <t xml:space="preserve">1C3</t>
  </si>
  <si>
    <t xml:space="preserve">Finish today, reopen the game</t>
  </si>
  <si>
    <t xml:space="preserve">shows finished result and countdown (WAITING_FOR_NEXT), not a fresh board</t>
  </si>
  <si>
    <t xml:space="preserve">1C4</t>
  </si>
  <si>
    <t xml:space="preserve">?d= to a future day, then back to today</t>
  </si>
  <si>
    <t xml:space="preserve">never crashes, no streak awarded for a skipped day</t>
  </si>
  <si>
    <t xml:space="preserve">1D. First-time experience</t>
  </si>
  <si>
    <t xml:space="preserve">Note: The fixed easy first-session board is not implemented for POKER GRID; a first-timer gets the auto-opened help panel instead. 1D1 tests the help panel, not a practice board. Known gap, not a UAT failure.</t>
  </si>
  <si>
    <t xml:space="preserve">1D1</t>
  </si>
  <si>
    <t xml:space="preserve">Clear site data, open /poker-grid/</t>
  </si>
  <si>
    <t xml:space="preserve">help panel opens automatically; one screen; dismissible in one tap</t>
  </si>
  <si>
    <t xml:space="preserve">1D2</t>
  </si>
  <si>
    <t xml:space="preserve">Reopen help from the header icon later</t>
  </si>
  <si>
    <t xml:space="preserve">panel reopens</t>
  </si>
  <si>
    <t xml:space="preserve">1D3</t>
  </si>
  <si>
    <t xml:space="preserve">Check stats after first-ever visit before finishing</t>
  </si>
  <si>
    <t xml:space="preserve">games played reads 0</t>
  </si>
  <si>
    <t xml:space="preserve">1E. Mobile fit and accessibility</t>
  </si>
  <si>
    <t xml:space="preserve">1E1</t>
  </si>
  <si>
    <t xml:space="preserve">View at 360px wide</t>
  </si>
  <si>
    <t xml:space="preserve">all 35 faces legible, no sideways scroll</t>
  </si>
  <si>
    <t xml:space="preserve">iPhone</t>
  </si>
  <si>
    <t xml:space="preserve">1E2</t>
  </si>
  <si>
    <t xml:space="preserve">Mid-drag on touch</t>
  </si>
  <si>
    <t xml:space="preserve">the selection is visible under where the thumb sits</t>
  </si>
  <si>
    <t xml:space="preserve">1E3</t>
  </si>
  <si>
    <t xml:space="preserve">View on the large viewport, both orientations</t>
  </si>
  <si>
    <t xml:space="preserve">layout holds, nothing stranded or clipped</t>
  </si>
  <si>
    <t xml:space="preserve">iPad</t>
  </si>
  <si>
    <t xml:space="preserve">1E4</t>
  </si>
  <si>
    <t xml:space="preserve">Full keyboard play (no pointer)</t>
  </si>
  <si>
    <t xml:space="preserve">can select, accept, and clear a hand; visible focus throughout</t>
  </si>
  <si>
    <t xml:space="preserve">1E5</t>
  </si>
  <si>
    <t xml:space="preserve">Suit and result meaning without color</t>
  </si>
  <si>
    <t xml:space="preserve">suits and tiers distinguishable without relying on color alone</t>
  </si>
  <si>
    <t xml:space="preserve">1E6</t>
  </si>
  <si>
    <t xml:space="preserve">Screen reader on a state change</t>
  </si>
  <si>
    <t xml:space="preserve">acceptance or rejection is announced</t>
  </si>
  <si>
    <t xml:space="preserve">UAT  —  VECTOR  (live)</t>
  </si>
  <si>
    <t xml:space="preserve">Rule: Point every arrow so each numbered cell is the first one that exactly that many arrows reach. Board 6x6. WIN/LOSS. Up to 3 submissions. Input: tap a cell to set/cycle its arrow. Tiers Excellent to Rough; Not solved if all submissions spent unsolved.</t>
  </si>
  <si>
    <t xml:space="preserve">2A. Core play</t>
  </si>
  <si>
    <t xml:space="preserve">2A1</t>
  </si>
  <si>
    <t xml:space="preserve">Open /vector/</t>
  </si>
  <si>
    <t xml:space="preserve">6x6 grid with numbered target cells and blank arrow cells</t>
  </si>
  <si>
    <t xml:space="preserve">2A2</t>
  </si>
  <si>
    <t xml:space="preserve">Tap a blank cell</t>
  </si>
  <si>
    <t xml:space="preserve">an arrow appears; tapping cycles direction</t>
  </si>
  <si>
    <t xml:space="preserve">2A3</t>
  </si>
  <si>
    <t xml:space="preserve">Fill the board and submit</t>
  </si>
  <si>
    <t xml:space="preserve">if correct, solved; if not, a submission is spent and feedback shows</t>
  </si>
  <si>
    <t xml:space="preserve">2A4</t>
  </si>
  <si>
    <t xml:space="preserve">Submit with the board incomplete</t>
  </si>
  <si>
    <t xml:space="preserve">rejected with a readable reason (finish placing first); no submission spent</t>
  </si>
  <si>
    <t xml:space="preserve">2A5</t>
  </si>
  <si>
    <t xml:space="preserve">Spend all three submissions without solving</t>
  </si>
  <si>
    <t xml:space="preserve">game ends Not solved (a loss), result screen appears</t>
  </si>
  <si>
    <t xml:space="preserve">2A6</t>
  </si>
  <si>
    <t xml:space="preserve">Solve within three submissions</t>
  </si>
  <si>
    <t xml:space="preserve">win; result screen shows the tier</t>
  </si>
  <si>
    <t xml:space="preserve">2B. Result, share, stats</t>
  </si>
  <si>
    <t xml:space="preserve">2B1</t>
  </si>
  <si>
    <t xml:space="preserve">Reach result after a win</t>
  </si>
  <si>
    <t xml:space="preserve">tier name, share, countdown</t>
  </si>
  <si>
    <t xml:space="preserve">2B2</t>
  </si>
  <si>
    <t xml:space="preserve">Reach result after a loss</t>
  </si>
  <si>
    <t xml:space="preserve">shows Not solved, share still works, countdown</t>
  </si>
  <si>
    <t xml:space="preserve">2B3</t>
  </si>
  <si>
    <t xml:space="preserve">Share (desktop)</t>
  </si>
  <si>
    <t xml:space="preserve">copied confirmation; block pastes with title, up to 3 rows, URL</t>
  </si>
  <si>
    <t xml:space="preserve">2B4</t>
  </si>
  <si>
    <t xml:space="preserve">Share (phone)</t>
  </si>
  <si>
    <t xml:space="preserve">native share sheet with the block</t>
  </si>
  <si>
    <t xml:space="preserve">2B5</t>
  </si>
  <si>
    <t xml:space="preserve">Stats modal</t>
  </si>
  <si>
    <t xml:space="preserve">played, won, win %, streak, max streak, 4-bucket histogram</t>
  </si>
  <si>
    <t xml:space="preserve">2B6</t>
  </si>
  <si>
    <t xml:space="preserve">Confirm a loss did not increment or award streak</t>
  </si>
  <si>
    <t xml:space="preserve">streak logic correct on loss</t>
  </si>
  <si>
    <t xml:space="preserve">2C. Persistence, lifecycle, first-time</t>
  </si>
  <si>
    <t xml:space="preserve">2C1</t>
  </si>
  <si>
    <t xml:space="preserve">Place arrows, spend one submission, reload</t>
  </si>
  <si>
    <t xml:space="preserve">board, arrows, and remaining submissions restored</t>
  </si>
  <si>
    <t xml:space="preserve">2C2</t>
  </si>
  <si>
    <t xml:space="preserve">Finish today, reopen</t>
  </si>
  <si>
    <t xml:space="preserve">finished result and countdown, not a fresh board</t>
  </si>
  <si>
    <t xml:space="preserve">2C3</t>
  </si>
  <si>
    <t xml:space="preserve">Clear site data, open VECTOR</t>
  </si>
  <si>
    <t xml:space="preserve">help panel with the five-cell strip worked example, one screen, dismissible</t>
  </si>
  <si>
    <t xml:space="preserve">2C4</t>
  </si>
  <si>
    <t xml:space="preserve">Reopen help from header</t>
  </si>
  <si>
    <t xml:space="preserve">reopens</t>
  </si>
  <si>
    <t xml:space="preserve">2D. Mobile fit and accessibility</t>
  </si>
  <si>
    <t xml:space="preserve">2D1</t>
  </si>
  <si>
    <t xml:space="preserve">360px view</t>
  </si>
  <si>
    <t xml:space="preserve">6x6 grid, clues and arrows legible, no sideways scroll</t>
  </si>
  <si>
    <t xml:space="preserve">2D2</t>
  </si>
  <si>
    <t xml:space="preserve">Large viewport, both orientations</t>
  </si>
  <si>
    <t xml:space="preserve">layout holds</t>
  </si>
  <si>
    <t xml:space="preserve">2D3</t>
  </si>
  <si>
    <t xml:space="preserve">Keyboard play</t>
  </si>
  <si>
    <t xml:space="preserve">arrow keys move focus, a key sets/cycles the arrow, submit reachable, visible focus</t>
  </si>
  <si>
    <t xml:space="preserve">2D4</t>
  </si>
  <si>
    <t xml:space="preserve">Meaning without color</t>
  </si>
  <si>
    <t xml:space="preserve">placed arrows, clues, and solved/unsolved distinguishable without color alone</t>
  </si>
  <si>
    <t xml:space="preserve">2D5</t>
  </si>
  <si>
    <t xml:space="preserve">Screen reader</t>
  </si>
  <si>
    <t xml:space="preserve">clue cells, blanks, placed arrows, and submit result announced</t>
  </si>
  <si>
    <t xml:space="preserve">UAT  —  CIPHER  (live)</t>
  </si>
  <si>
    <t xml:space="preserve">Rule: Break a four-symbol code in six guesses from exact and misplaced counts. WIN/LOSS. 6 guesses. Input: tap to enter symbols across four slots, Enter to submit, Backspace to erase. Tiers Excellent to Rough; Not solved at six failed guesses.</t>
  </si>
  <si>
    <t xml:space="preserve">3A. Core play</t>
  </si>
  <si>
    <t xml:space="preserve">3A1</t>
  </si>
  <si>
    <t xml:space="preserve">Open /cipher/</t>
  </si>
  <si>
    <t xml:space="preserve">four empty slots and a symbol input; up to six guess rows</t>
  </si>
  <si>
    <t xml:space="preserve">3A2</t>
  </si>
  <si>
    <t xml:space="preserve">Enter four symbols and submit</t>
  </si>
  <si>
    <t xml:space="preserve">a guess row records with exact and misplaced counts (never which slot)</t>
  </si>
  <si>
    <t xml:space="preserve">3A3</t>
  </si>
  <si>
    <t xml:space="preserve">Submit fewer than four symbols</t>
  </si>
  <si>
    <t xml:space="preserve">rejected with a readable reason; no guess consumed</t>
  </si>
  <si>
    <t xml:space="preserve">3A4</t>
  </si>
  <si>
    <t xml:space="preserve">Backspace on a partial entry</t>
  </si>
  <si>
    <t xml:space="preserve">last symbol erased</t>
  </si>
  <si>
    <t xml:space="preserve">3A5</t>
  </si>
  <si>
    <t xml:space="preserve">Guess the exact code</t>
  </si>
  <si>
    <t xml:space="preserve">win; result screen</t>
  </si>
  <si>
    <t xml:space="preserve">3A6</t>
  </si>
  <si>
    <t xml:space="preserve">Use all six guesses without solving</t>
  </si>
  <si>
    <t xml:space="preserve">ends Not solved (loss); result screen</t>
  </si>
  <si>
    <t xml:space="preserve">3B. Result, share, stats</t>
  </si>
  <si>
    <t xml:space="preserve">3B1</t>
  </si>
  <si>
    <t xml:space="preserve">Result after a win</t>
  </si>
  <si>
    <t xml:space="preserve">tier, Solved in N, share, countdown</t>
  </si>
  <si>
    <t xml:space="preserve">3B2</t>
  </si>
  <si>
    <t xml:space="preserve">Result after a loss</t>
  </si>
  <si>
    <t xml:space="preserve">Not solved, share works, countdown</t>
  </si>
  <si>
    <t xml:space="preserve">3B3</t>
  </si>
  <si>
    <t xml:space="preserve">title matches CIPHER #N &lt;Tier&gt;; rows are feedback pairs sorted so no cell maps to a slot; URL present</t>
  </si>
  <si>
    <t xml:space="preserve">3B4</t>
  </si>
  <si>
    <t xml:space="preserve">3B5</t>
  </si>
  <si>
    <t xml:space="preserve">played, won, win %, streak, max streak, 7-bucket histogram</t>
  </si>
  <si>
    <t xml:space="preserve">3B6</t>
  </si>
  <si>
    <t xml:space="preserve">Confirm no slot position is readable from the shared block</t>
  </si>
  <si>
    <t xml:space="preserve">rows reveal counts only, never position</t>
  </si>
  <si>
    <t xml:space="preserve">3C. Persistence, lifecycle, first-time</t>
  </si>
  <si>
    <t xml:space="preserve">3C1</t>
  </si>
  <si>
    <t xml:space="preserve">Make two guesses, reload</t>
  </si>
  <si>
    <t xml:space="preserve">all prior guesses and their feedback restored</t>
  </si>
  <si>
    <t xml:space="preserve">3C2</t>
  </si>
  <si>
    <t xml:space="preserve">finished result and countdown</t>
  </si>
  <si>
    <t xml:space="preserve">3C3</t>
  </si>
  <si>
    <t xml:space="preserve">Clear site data, open CIPHER</t>
  </si>
  <si>
    <t xml:space="preserve">help panel worked example, one screen, dismissible</t>
  </si>
  <si>
    <t xml:space="preserve">3C4</t>
  </si>
  <si>
    <t xml:space="preserve">3D. Mobile fit and accessibility</t>
  </si>
  <si>
    <t xml:space="preserve">3D1</t>
  </si>
  <si>
    <t xml:space="preserve">slots, symbol input, and guess history legible, no sideways scroll</t>
  </si>
  <si>
    <t xml:space="preserve">3D2</t>
  </si>
  <si>
    <t xml:space="preserve">3D3</t>
  </si>
  <si>
    <t xml:space="preserve">enter symbols, Enter submits, Backspace erases, visible focus</t>
  </si>
  <si>
    <t xml:space="preserve">3D4</t>
  </si>
  <si>
    <t xml:space="preserve">exact vs misplaced feedback distinguishable without color alone</t>
  </si>
  <si>
    <t xml:space="preserve">3D5</t>
  </si>
  <si>
    <t xml:space="preserve">each guess's feedback and win/loss announced</t>
  </si>
  <si>
    <t xml:space="preserve">UAT  —  ROTATE LOCK  (built, planned)</t>
  </si>
  <si>
    <t xml:space="preserve">Rule: Order and rotate the route pieces so the path takes every marked turn and ends at the lock. WIN/LOSS (open the lock or jam). Graded by move count against par, five buckets: At par, 1 to 4 over, 5 to 10 over, 11 or more over, Jammed. Input: custom, via the list cursor (tap plus keyboard: focus, select, swap, rotate, cancel). REACHABLE ONLY through the harness build (E3). Its manual mobile check is the one gate step keeping it from going live, so this is the highest-stakes sheet.</t>
  </si>
  <si>
    <t xml:space="preserve">4A. Core play</t>
  </si>
  <si>
    <t xml:space="preserve">4A1</t>
  </si>
  <si>
    <t xml:space="preserve">Open /rotate-lock/ from the harness build</t>
  </si>
  <si>
    <t xml:space="preserve">route pieces and tray render; the lock and marked turns visible</t>
  </si>
  <si>
    <t xml:space="preserve">4A2</t>
  </si>
  <si>
    <t xml:space="preserve">Reorder two pieces</t>
  </si>
  <si>
    <t xml:space="preserve">the order changes; the path preview updates</t>
  </si>
  <si>
    <t xml:space="preserve">4A3</t>
  </si>
  <si>
    <t xml:space="preserve">Rotate a piece</t>
  </si>
  <si>
    <t xml:space="preserve">it turns a quarter; move count increments</t>
  </si>
  <si>
    <t xml:space="preserve">4A4</t>
  </si>
  <si>
    <t xml:space="preserve">Build a path that hits every marked turn and reaches the lock</t>
  </si>
  <si>
    <t xml:space="preserve">lock opens; win</t>
  </si>
  <si>
    <t xml:space="preserve">4A5</t>
  </si>
  <si>
    <t xml:space="preserve">Reach a state with no route that opens the lock</t>
  </si>
  <si>
    <t xml:space="preserve">ends Jammed (loss)</t>
  </si>
  <si>
    <t xml:space="preserve">4A6</t>
  </si>
  <si>
    <t xml:space="preserve">Solve exactly at par</t>
  </si>
  <si>
    <t xml:space="preserve">result reads At par</t>
  </si>
  <si>
    <t xml:space="preserve">4A7</t>
  </si>
  <si>
    <t xml:space="preserve">Solve well over par</t>
  </si>
  <si>
    <t xml:space="preserve">result reads the correct over-par bucket</t>
  </si>
  <si>
    <t xml:space="preserve">4B. Result, share, stats</t>
  </si>
  <si>
    <t xml:space="preserve">4B1</t>
  </si>
  <si>
    <t xml:space="preserve">bucket label + move count (At par, N moves), share, countdown</t>
  </si>
  <si>
    <t xml:space="preserve">4B2</t>
  </si>
  <si>
    <t xml:space="preserve">Result after a jam</t>
  </si>
  <si>
    <t xml:space="preserve">..., jammed, share works</t>
  </si>
  <si>
    <t xml:space="preserve">4B3</t>
  </si>
  <si>
    <t xml:space="preserve">block pastes with title, move-token rows, URL</t>
  </si>
  <si>
    <t xml:space="preserve">4B4</t>
  </si>
  <si>
    <t xml:space="preserve">4B5</t>
  </si>
  <si>
    <t xml:space="preserve">played, won, win %, streak, max streak, 5-bucket histogram</t>
  </si>
  <si>
    <t xml:space="preserve">4C. Persistence, lifecycle, first-time</t>
  </si>
  <si>
    <t xml:space="preserve">4C1</t>
  </si>
  <si>
    <t xml:space="preserve">Make moves, reload</t>
  </si>
  <si>
    <t xml:space="preserve">piece order, rotations, and move count restored</t>
  </si>
  <si>
    <t xml:space="preserve">4C2</t>
  </si>
  <si>
    <t xml:space="preserve">Finish, reopen</t>
  </si>
  <si>
    <t xml:space="preserve">4C3</t>
  </si>
  <si>
    <t xml:space="preserve">Clear site data, open ROTATE LOCK</t>
  </si>
  <si>
    <t xml:space="preserve">4D. Mobile fit and accessibility (the gating section)</t>
  </si>
  <si>
    <t xml:space="preserve">4D1</t>
  </si>
  <si>
    <t xml:space="preserve">route pieces and tray legible at mobile density, no sideways scroll</t>
  </si>
  <si>
    <t xml:space="preserve">4D2</t>
  </si>
  <si>
    <t xml:space="preserve">Touch targets</t>
  </si>
  <si>
    <t xml:space="preserve">every piece and control at least 44x44 px</t>
  </si>
  <si>
    <t xml:space="preserve">4D3</t>
  </si>
  <si>
    <t xml:space="preserve">4D4</t>
  </si>
  <si>
    <t xml:space="preserve">Keyboard parity via the list cursor</t>
  </si>
  <si>
    <t xml:space="preserve">Tab to the list, arrows move focus, select, swap, rotate, Escape cancels; visible focus</t>
  </si>
  <si>
    <t xml:space="preserve">4D5</t>
  </si>
  <si>
    <t xml:space="preserve">Screen reader on the list</t>
  </si>
  <si>
    <t xml:space="preserve">focused piece, its pressed/selected state, and swaps announced</t>
  </si>
  <si>
    <t xml:space="preserve">4D6</t>
  </si>
  <si>
    <t xml:space="preserve">route, turns, lock, and win/jam distinguishable without color alone</t>
  </si>
  <si>
    <t xml:space="preserve">4D7</t>
  </si>
  <si>
    <t xml:space="preserve">Header renders the full name at 360px</t>
  </si>
  <si>
    <t xml:space="preserve">ROTATE LOCK is whole, not ROTATE ... (corrected defect; confirm it held)</t>
  </si>
  <si>
    <t xml:space="preserve">4D8</t>
  </si>
  <si>
    <t xml:space="preserve">Its own accent color renders</t>
  </si>
  <si>
    <t xml:space="preserve">ROTATE LOCK draws its magenta accent, not the default blue (corrected defect)</t>
  </si>
  <si>
    <t xml:space="preserve">4E. Suite integration (run once across all four, on the hub)</t>
  </si>
  <si>
    <t xml:space="preserve">4E1</t>
  </si>
  <si>
    <t xml:space="preserve">Hub shows correct per-game status</t>
  </si>
  <si>
    <t xml:space="preserve">not started / in progress / finished-with-result for each live game</t>
  </si>
  <si>
    <t xml:space="preserve">4E2</t>
  </si>
  <si>
    <t xml:space="preserve">Each game's own accent renders on its hub card</t>
  </si>
  <si>
    <t xml:space="preserve">four distinct card accents, not all blue</t>
  </si>
  <si>
    <t xml:space="preserve">4E3</t>
  </si>
  <si>
    <t xml:space="preserve">Suite streak (any one game finished per day) shown prominently</t>
  </si>
  <si>
    <t xml:space="preserve">present and correct</t>
  </si>
  <si>
    <t xml:space="preserve">4E4</t>
  </si>
  <si>
    <t xml:space="preserve">Daily card share, one game finished and others not</t>
  </si>
  <si>
    <t xml:space="preserve">every row same width, one glyph per game</t>
  </si>
  <si>
    <t xml:space="preserve">4E5</t>
  </si>
  <si>
    <t xml:space="preserve">Cross promotion after finishing a game</t>
  </si>
  <si>
    <t xml:space="preserve">one line, least-recently-played game, dismissible, only after completion</t>
  </si>
  <si>
    <t xml:space="preserve">4E6</t>
  </si>
  <si>
    <t xml:space="preserve">Offline: load hub + a game, go offline, reload</t>
  </si>
  <si>
    <t xml:space="preserve">hub cards and today's board still render from cache</t>
  </si>
  <si>
    <t xml:space="preserve">HTTPS</t>
  </si>
  <si>
    <t xml:space="preserve">4E7</t>
  </si>
  <si>
    <t xml:space="preserve">Offline first-ever visitor</t>
  </si>
  <si>
    <t xml:space="preserve">plain today's puzzle unavailable message, never a board</t>
  </si>
  <si>
    <t xml:space="preserve">UAT  —  DIFFERENCE RELAY  (built, planned)</t>
  </si>
  <si>
    <t xml:space="preserve">Rule: Order six numbers so every neighbouring pair differs by the amount marked in the gap between them. Some gaps are hidden (shown as ?); you learn them by running the relay: a baton crosses each gap while the two neighbours differ by that amount and stops at the first station where they do not, telling you how far it reached. WIN/LOSS, up to 6 runs. Imperfect information. Tiers Excellent/Great/Good/Rough by run count against this board's par; seven distribution buckets, Solved in 1 through 6 then Failed. Input: the list cursor (tap plus keyboard: focus, select, swap, cancel) with an r key to run the relay. REACHABLE ONLY through the harness build (E3), since it is planned.</t>
  </si>
  <si>
    <t xml:space="preserve">DR-A. Core play</t>
  </si>
  <si>
    <t xml:space="preserve">DRA1</t>
  </si>
  <si>
    <t xml:space="preserve">Open /difference-relay/ from the harness build</t>
  </si>
  <si>
    <t xml:space="preserve">a row of six numbers with five gaps between them; some gaps show a difference, some show ?; a Run control and a run counter (6 runs)</t>
  </si>
  <si>
    <t xml:space="preserve">DRA2</t>
  </si>
  <si>
    <t xml:space="preserve">Select a number, then select another</t>
  </si>
  <si>
    <t xml:space="preserve">the two numbers swap positions; the order updates; selection clears</t>
  </si>
  <si>
    <t xml:space="preserve">DRA3</t>
  </si>
  <si>
    <t xml:space="preserve">Reorder the row and press Run (or the r key)</t>
  </si>
  <si>
    <t xml:space="preserve">the baton crosses gaps left to right and stops at the first station whose pair does not match its gap; the reached station is reported</t>
  </si>
  <si>
    <t xml:space="preserve">DRA4</t>
  </si>
  <si>
    <t xml:space="preserve">Read a stopped relay against a hidden (?) gap</t>
  </si>
  <si>
    <t xml:space="preserve">where the baton stops teaches the hidden constraint; the ? region is what you can deduce from the stop point</t>
  </si>
  <si>
    <t xml:space="preserve">DRA5</t>
  </si>
  <si>
    <t xml:space="preserve">Run the exact same order twice without changing it</t>
  </si>
  <si>
    <t xml:space="preserve">rejected: you already ran that order, change it first; no run consumed</t>
  </si>
  <si>
    <t xml:space="preserve">DRA6</t>
  </si>
  <si>
    <t xml:space="preserve">Achieve an order where the baton crosses all five gaps</t>
  </si>
  <si>
    <t xml:space="preserve">win; the relay reaches the final station</t>
  </si>
  <si>
    <t xml:space="preserve">DRA7</t>
  </si>
  <si>
    <t xml:space="preserve">Spend all six runs without a full crossing</t>
  </si>
  <si>
    <t xml:space="preserve">game ends Failed (loss), result screen appears</t>
  </si>
  <si>
    <t xml:space="preserve">DRA8</t>
  </si>
  <si>
    <t xml:space="preserve">Try to run after the game is over</t>
  </si>
  <si>
    <t xml:space="preserve">rejected: the relay is already finished for today</t>
  </si>
  <si>
    <t xml:space="preserve">DR-B. Result, tier, share, stats</t>
  </si>
  <si>
    <t xml:space="preserve">DRB1</t>
  </si>
  <si>
    <t xml:space="preserve">Reach the result screen after a win</t>
  </si>
  <si>
    <t xml:space="preserve">tier (Excellent/Great/Good/Rough) by run count against par, the run count, share button, countdown</t>
  </si>
  <si>
    <t xml:space="preserve">DRB2</t>
  </si>
  <si>
    <t xml:space="preserve">Solve in one run on the easy first board, or an easy day via ?d=</t>
  </si>
  <si>
    <t xml:space="preserve">best tier; Solved in 1 bucket (distinguished bucket 0)</t>
  </si>
  <si>
    <t xml:space="preserve">DRB3</t>
  </si>
  <si>
    <t xml:space="preserve">Reach the result after a loss</t>
  </si>
  <si>
    <t xml:space="preserve">shows Failed, share still works, countdown</t>
  </si>
  <si>
    <t xml:space="preserve">DRB4</t>
  </si>
  <si>
    <t xml:space="preserve">run count against par shown only on tap, never during play</t>
  </si>
  <si>
    <t xml:space="preserve">DRB5</t>
  </si>
  <si>
    <t xml:space="preserve">copied confirmation; block pastes as an attempt ladder (one row per run, up to 6), title carries tier and run count, URL present</t>
  </si>
  <si>
    <t xml:space="preserve">DRB6</t>
  </si>
  <si>
    <t xml:space="preserve">native share sheet opens with the block</t>
  </si>
  <si>
    <t xml:space="preserve">DRB7</t>
  </si>
  <si>
    <t xml:space="preserve">Confirm the shared block is spoiler-free</t>
  </si>
  <si>
    <t xml:space="preserve">rows show only how far each run's baton reached, never a number, a difference, or a position</t>
  </si>
  <si>
    <t xml:space="preserve">DRB8</t>
  </si>
  <si>
    <t xml:space="preserve">played, won, win %, streak, max streak, 7-bucket histogram (Solved in 1..6, Failed), bucket 0 distinguished</t>
  </si>
  <si>
    <t xml:space="preserve">DRB9</t>
  </si>
  <si>
    <t xml:space="preserve">Confirm a loss did not award or extend streak</t>
  </si>
  <si>
    <t xml:space="preserve">DR-C. Persistence, lifecycle, first-time</t>
  </si>
  <si>
    <t xml:space="preserve">Note: Unlike POKER GRID, DIFFERENCE RELAY supplies a fixed easy first-session board (range-wide, one hidden gap, par 1). A first-timer plays that before today's real puzzle.</t>
  </si>
  <si>
    <t xml:space="preserve">DRC1</t>
  </si>
  <si>
    <t xml:space="preserve">Make a run or two, reload mid-game</t>
  </si>
  <si>
    <t xml:space="preserve">current order and every prior run and its reached station restored exactly</t>
  </si>
  <si>
    <t xml:space="preserve">DRC2</t>
  </si>
  <si>
    <t xml:space="preserve">Reorder without running, reload</t>
  </si>
  <si>
    <t xml:space="preserve">the in-progress order is restored, runs remaining unchanged</t>
  </si>
  <si>
    <t xml:space="preserve">DRC3</t>
  </si>
  <si>
    <t xml:space="preserve">finished result and countdown (WAITING_FOR_NEXT), not a fresh board</t>
  </si>
  <si>
    <t xml:space="preserve">DRC4</t>
  </si>
  <si>
    <t xml:space="preserve">Clear site data, open /difference-relay/</t>
  </si>
  <si>
    <t xml:space="preserve">the fixed easy practice board with the how-to panel over it, and a line that it does not count</t>
  </si>
  <si>
    <t xml:space="preserve">DRC5</t>
  </si>
  <si>
    <t xml:space="preserve">Finish the practice board, continue</t>
  </si>
  <si>
    <t xml:space="preserve">a panel saying it did not count (no grade, no streak), then today's real board loads</t>
  </si>
  <si>
    <t xml:space="preserve">DRC6</t>
  </si>
  <si>
    <t xml:space="preserve">DRC7</t>
  </si>
  <si>
    <t xml:space="preserve">?d= to a future day then back to today</t>
  </si>
  <si>
    <t xml:space="preserve">DR-D. Mobile fit and accessibility (the gating section)</t>
  </si>
  <si>
    <t xml:space="preserve">DRD1</t>
  </si>
  <si>
    <t xml:space="preserve">six numbers, five gaps, run counter, and Run button legible with no sideways scroll</t>
  </si>
  <si>
    <t xml:space="preserve">DRD2</t>
  </si>
  <si>
    <t xml:space="preserve">each number slot and the Run button at least 44x44 px (Run is 44 px tall per the design)</t>
  </si>
  <si>
    <t xml:space="preserve">DRD3</t>
  </si>
  <si>
    <t xml:space="preserve">DRD4</t>
  </si>
  <si>
    <t xml:space="preserve">Tab reaches the row, arrows move focus (Home/End jump), Enter selects and swaps, Escape cancels a selection, r runs the relay; visible focus throughout</t>
  </si>
  <si>
    <t xml:space="preserve">DRD5</t>
  </si>
  <si>
    <t xml:space="preserve">focused number, its selected/pressed state, a swap, and the reached station after a run are announced</t>
  </si>
  <si>
    <t xml:space="preserve">DRD6</t>
  </si>
  <si>
    <t xml:space="preserve">numbers, known vs hidden (?) gaps, the baton's stop point, and win/fail distinguishable without color alone</t>
  </si>
  <si>
    <t xml:space="preserve">DRD7</t>
  </si>
  <si>
    <t xml:space="preserve">DIFFERENCE RELAY shows whole, not truncated</t>
  </si>
  <si>
    <t xml:space="preserve">DRD8</t>
  </si>
  <si>
    <t xml:space="preserve">Its own accent renders</t>
  </si>
  <si>
    <t xml:space="preserve">the game draws its own hue 68 accent, not the default</t>
  </si>
  <si>
    <t xml:space="preserve">DR-E. Suite integration</t>
  </si>
  <si>
    <t xml:space="preserve">Note: Run once on the hub. Applies only after the game is live; while it is planned it appears only in the harness build.</t>
  </si>
  <si>
    <t xml:space="preserve">DRE1</t>
  </si>
  <si>
    <t xml:space="preserve">Hub shows correct per-game status once live</t>
  </si>
  <si>
    <t xml:space="preserve">not started / in progress / finished-with-result</t>
  </si>
  <si>
    <t xml:space="preserve">DRE2</t>
  </si>
  <si>
    <t xml:space="preserve">Its hub card accent</t>
  </si>
  <si>
    <t xml:space="preserve">distinct hue 68 accent on the card</t>
  </si>
  <si>
    <t xml:space="preserve">DRE3</t>
  </si>
  <si>
    <t xml:space="preserve">Contributes one row to the daily card</t>
  </si>
  <si>
    <t xml:space="preserve">one glyph for DIFFERENCE RELAY, same width as other games' rows</t>
  </si>
  <si>
    <t xml:space="preserve">DRE4</t>
  </si>
  <si>
    <t xml:space="preserve">Offline: load then go offline, reload</t>
  </si>
  <si>
    <t xml:space="preserve">today's board still renders and plays from cache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</si>
</sst>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7F6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404040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0B0B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70"/>
  </cols>
  <sheetData>
    <row r="1" customFormat="false" ht="25.5" hidden="false" customHeight="true" outlineLevel="0" collapsed="false">
      <c r="A1" s="1" t="s">
        <v>0</v>
      </c>
      <c r="B1" s="1"/>
      <c r="C1" s="1"/>
    </row>
    <row r="3" customFormat="false" ht="42" hidden="false" customHeight="true" outlineLevel="0" collapsed="false">
      <c r="A3" s="2" t="s">
        <v>1</v>
      </c>
      <c r="B3" s="2"/>
      <c r="C3" s="2"/>
    </row>
    <row r="4" customFormat="false" ht="42" hidden="false" customHeight="true" outlineLevel="0" collapsed="false">
      <c r="A4" s="2" t="s">
        <v>2</v>
      </c>
      <c r="B4" s="2"/>
      <c r="C4" s="2"/>
    </row>
    <row r="5" customFormat="false" ht="42" hidden="false" customHeight="true" outlineLevel="0" collapsed="false">
      <c r="A5" s="2" t="s">
        <v>3</v>
      </c>
      <c r="B5" s="2"/>
      <c r="C5" s="2"/>
    </row>
    <row r="7" customFormat="false" ht="15" hidden="false" customHeight="false" outlineLevel="0" collapsed="false">
      <c r="B7" s="3" t="s">
        <v>4</v>
      </c>
      <c r="C7" s="3" t="s">
        <v>5</v>
      </c>
    </row>
    <row r="8" customFormat="false" ht="15" hidden="false" customHeight="false" outlineLevel="0" collapsed="false">
      <c r="B8" s="4" t="s">
        <v>6</v>
      </c>
      <c r="C8" s="5" t="s">
        <v>7</v>
      </c>
    </row>
    <row r="9" customFormat="false" ht="15" hidden="false" customHeight="false" outlineLevel="0" collapsed="false">
      <c r="B9" s="4" t="s">
        <v>8</v>
      </c>
      <c r="C9" s="5" t="s">
        <v>7</v>
      </c>
    </row>
    <row r="10" customFormat="false" ht="15" hidden="false" customHeight="false" outlineLevel="0" collapsed="false">
      <c r="B10" s="4" t="s">
        <v>9</v>
      </c>
      <c r="C10" s="5" t="s">
        <v>7</v>
      </c>
    </row>
    <row r="11" customFormat="false" ht="15" hidden="false" customHeight="false" outlineLevel="0" collapsed="false">
      <c r="B11" s="4" t="s">
        <v>10</v>
      </c>
      <c r="C11" s="5" t="s">
        <v>11</v>
      </c>
    </row>
    <row r="12" customFormat="false" ht="15" hidden="false" customHeight="false" outlineLevel="0" collapsed="false">
      <c r="B12" s="4" t="s">
        <v>12</v>
      </c>
      <c r="C12" s="5" t="s">
        <v>11</v>
      </c>
    </row>
  </sheetData>
  <mergeCells count="4">
    <mergeCell ref="A1:C1"/>
    <mergeCell ref="A3:C3"/>
    <mergeCell ref="A4:C4"/>
    <mergeCell ref="A5:C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5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34"/>
  </cols>
  <sheetData>
    <row r="1" customFormat="false" ht="24" hidden="false" customHeight="true" outlineLevel="0" collapsed="false">
      <c r="A1" s="6" t="s">
        <v>13</v>
      </c>
      <c r="B1" s="6"/>
      <c r="C1" s="6"/>
      <c r="D1" s="6"/>
      <c r="E1" s="6"/>
      <c r="F1" s="6"/>
    </row>
    <row r="2" customFormat="false" ht="57.75" hidden="false" customHeight="true" outlineLevel="0" collapsed="false">
      <c r="A2" s="7" t="s">
        <v>14</v>
      </c>
      <c r="B2" s="7"/>
      <c r="C2" s="7"/>
      <c r="D2" s="7"/>
      <c r="E2" s="7"/>
      <c r="F2" s="7"/>
    </row>
    <row r="3" customFormat="false" ht="43.5" hidden="false" customHeight="true" outlineLevel="0" collapsed="false">
      <c r="A3" s="8" t="s">
        <v>15</v>
      </c>
      <c r="B3" s="8"/>
      <c r="C3" s="8"/>
      <c r="D3" s="8"/>
      <c r="E3" s="8"/>
      <c r="F3" s="8"/>
    </row>
    <row r="4" customFormat="false" ht="19.5" hidden="false" customHeight="true" outlineLevel="0" collapsed="false">
      <c r="A4" s="9" t="str">
        <f aca="false">CONCATENATE("Checks: ",27,"   Pass: ",COUNTIF(E16:E55,"Pass"),"   Fail: ",COUNTIF(E16:E55,"Fail"),"   N/A: ",COUNTIF(E16:E55,"N/A"),"   Remaining: ",27-COUNTIF(E16:E55,"Pass")-COUNTIF(E16:E55,"Fail")-COUNTIF(E16:E55,"N/A"))</f>
        <v>Checks: 27   Pass: 0   Fail: 0   N/A: 0   Remaining: 27</v>
      </c>
      <c r="B4" s="9"/>
      <c r="C4" s="9"/>
      <c r="D4" s="9"/>
      <c r="E4" s="9"/>
      <c r="F4" s="9"/>
    </row>
    <row r="6" customFormat="false" ht="15" hidden="false" customHeight="true" outlineLevel="0" collapsed="false">
      <c r="A6" s="10" t="s">
        <v>16</v>
      </c>
      <c r="B6" s="10"/>
      <c r="C6" s="10"/>
      <c r="D6" s="10"/>
      <c r="E6" s="10"/>
      <c r="F6" s="10"/>
    </row>
    <row r="7" customFormat="false" ht="22.35" hidden="false" customHeight="false" outlineLevel="0" collapsed="false">
      <c r="A7" s="11" t="s">
        <v>17</v>
      </c>
      <c r="B7" s="11" t="s">
        <v>18</v>
      </c>
      <c r="C7" s="11" t="s">
        <v>19</v>
      </c>
      <c r="D7" s="11" t="s">
        <v>20</v>
      </c>
      <c r="E7" s="11"/>
      <c r="F7" s="11"/>
    </row>
    <row r="8" customFormat="false" ht="22.35" hidden="false" customHeight="false" outlineLevel="0" collapsed="false">
      <c r="A8" s="11" t="s">
        <v>21</v>
      </c>
      <c r="B8" s="11" t="s">
        <v>22</v>
      </c>
      <c r="C8" s="11" t="s">
        <v>23</v>
      </c>
      <c r="D8" s="11" t="s">
        <v>20</v>
      </c>
      <c r="E8" s="11"/>
      <c r="F8" s="11"/>
    </row>
    <row r="9" customFormat="false" ht="32.8" hidden="false" customHeight="false" outlineLevel="0" collapsed="false">
      <c r="A9" s="11" t="s">
        <v>24</v>
      </c>
      <c r="B9" s="11" t="s">
        <v>25</v>
      </c>
      <c r="C9" s="11" t="s">
        <v>26</v>
      </c>
      <c r="D9" s="11" t="s">
        <v>20</v>
      </c>
      <c r="E9" s="11"/>
      <c r="F9" s="11"/>
    </row>
    <row r="10" customFormat="false" ht="22.35" hidden="false" customHeight="false" outlineLevel="0" collapsed="false">
      <c r="A10" s="11" t="s">
        <v>27</v>
      </c>
      <c r="B10" s="11" t="s">
        <v>28</v>
      </c>
      <c r="C10" s="11" t="s">
        <v>29</v>
      </c>
      <c r="D10" s="11" t="s">
        <v>20</v>
      </c>
      <c r="E10" s="11"/>
      <c r="F10" s="11"/>
    </row>
    <row r="11" customFormat="false" ht="22.35" hidden="false" customHeight="false" outlineLevel="0" collapsed="false">
      <c r="A11" s="11" t="s">
        <v>30</v>
      </c>
      <c r="B11" s="11" t="s">
        <v>31</v>
      </c>
      <c r="C11" s="11" t="s">
        <v>32</v>
      </c>
      <c r="D11" s="11" t="s">
        <v>20</v>
      </c>
      <c r="E11" s="11"/>
      <c r="F11" s="11"/>
    </row>
    <row r="12" customFormat="false" ht="22.35" hidden="false" customHeight="false" outlineLevel="0" collapsed="false">
      <c r="A12" s="11" t="s">
        <v>33</v>
      </c>
      <c r="B12" s="11" t="s">
        <v>34</v>
      </c>
      <c r="C12" s="11" t="s">
        <v>35</v>
      </c>
      <c r="D12" s="11" t="s">
        <v>20</v>
      </c>
      <c r="E12" s="11"/>
      <c r="F12" s="11"/>
    </row>
    <row r="14" customFormat="false" ht="18" hidden="false" customHeight="true" outlineLevel="0" collapsed="false">
      <c r="A14" s="12" t="s">
        <v>36</v>
      </c>
      <c r="B14" s="12"/>
      <c r="C14" s="12"/>
      <c r="D14" s="12"/>
      <c r="E14" s="12"/>
      <c r="F14" s="12"/>
    </row>
    <row r="15" customFormat="false" ht="15" hidden="false" customHeight="false" outlineLevel="0" collapsed="false">
      <c r="A15" s="13" t="s">
        <v>37</v>
      </c>
      <c r="B15" s="13" t="s">
        <v>38</v>
      </c>
      <c r="C15" s="13" t="s">
        <v>39</v>
      </c>
      <c r="D15" s="13" t="s">
        <v>40</v>
      </c>
      <c r="E15" s="13" t="s">
        <v>41</v>
      </c>
      <c r="F15" s="13" t="s">
        <v>42</v>
      </c>
    </row>
    <row r="16" customFormat="false" ht="15" hidden="false" customHeight="false" outlineLevel="0" collapsed="false">
      <c r="A16" s="14" t="s">
        <v>43</v>
      </c>
      <c r="B16" s="15" t="s">
        <v>44</v>
      </c>
      <c r="C16" s="15" t="s">
        <v>45</v>
      </c>
      <c r="D16" s="16" t="s">
        <v>46</v>
      </c>
      <c r="E16" s="17"/>
      <c r="F16" s="15"/>
    </row>
    <row r="17" customFormat="false" ht="22.35" hidden="false" customHeight="false" outlineLevel="0" collapsed="false">
      <c r="A17" s="14" t="s">
        <v>47</v>
      </c>
      <c r="B17" s="15" t="s">
        <v>48</v>
      </c>
      <c r="C17" s="15" t="s">
        <v>49</v>
      </c>
      <c r="D17" s="16" t="s">
        <v>46</v>
      </c>
      <c r="E17" s="17"/>
      <c r="F17" s="15"/>
    </row>
    <row r="18" customFormat="false" ht="22.35" hidden="false" customHeight="false" outlineLevel="0" collapsed="false">
      <c r="A18" s="14" t="s">
        <v>50</v>
      </c>
      <c r="B18" s="15" t="s">
        <v>51</v>
      </c>
      <c r="C18" s="15" t="s">
        <v>52</v>
      </c>
      <c r="D18" s="16" t="s">
        <v>46</v>
      </c>
      <c r="E18" s="17"/>
      <c r="F18" s="15"/>
    </row>
    <row r="19" customFormat="false" ht="22.35" hidden="false" customHeight="false" outlineLevel="0" collapsed="false">
      <c r="A19" s="14" t="s">
        <v>53</v>
      </c>
      <c r="B19" s="15" t="s">
        <v>54</v>
      </c>
      <c r="C19" s="15" t="s">
        <v>55</v>
      </c>
      <c r="D19" s="16" t="s">
        <v>46</v>
      </c>
      <c r="E19" s="17"/>
      <c r="F19" s="15"/>
    </row>
    <row r="20" customFormat="false" ht="15" hidden="false" customHeight="false" outlineLevel="0" collapsed="false">
      <c r="A20" s="14" t="s">
        <v>56</v>
      </c>
      <c r="B20" s="15" t="s">
        <v>57</v>
      </c>
      <c r="C20" s="15" t="s">
        <v>58</v>
      </c>
      <c r="D20" s="16" t="s">
        <v>46</v>
      </c>
      <c r="E20" s="17"/>
      <c r="F20" s="15"/>
    </row>
    <row r="21" customFormat="false" ht="15" hidden="false" customHeight="false" outlineLevel="0" collapsed="false">
      <c r="A21" s="14" t="s">
        <v>59</v>
      </c>
      <c r="B21" s="15" t="s">
        <v>60</v>
      </c>
      <c r="C21" s="15" t="s">
        <v>61</v>
      </c>
      <c r="D21" s="16" t="s">
        <v>46</v>
      </c>
      <c r="E21" s="17"/>
      <c r="F21" s="15"/>
    </row>
    <row r="22" customFormat="false" ht="15" hidden="false" customHeight="false" outlineLevel="0" collapsed="false">
      <c r="A22" s="14" t="s">
        <v>62</v>
      </c>
      <c r="B22" s="15" t="s">
        <v>63</v>
      </c>
      <c r="C22" s="15" t="s">
        <v>64</v>
      </c>
      <c r="D22" s="16" t="s">
        <v>46</v>
      </c>
      <c r="E22" s="17"/>
      <c r="F22" s="15"/>
    </row>
    <row r="23" customFormat="false" ht="15" hidden="false" customHeight="false" outlineLevel="0" collapsed="false">
      <c r="A23" s="14" t="s">
        <v>65</v>
      </c>
      <c r="B23" s="15" t="s">
        <v>66</v>
      </c>
      <c r="C23" s="15" t="s">
        <v>67</v>
      </c>
      <c r="D23" s="16" t="s">
        <v>46</v>
      </c>
      <c r="E23" s="17"/>
      <c r="F23" s="15"/>
    </row>
    <row r="25" customFormat="false" ht="18" hidden="false" customHeight="true" outlineLevel="0" collapsed="false">
      <c r="A25" s="12" t="s">
        <v>68</v>
      </c>
      <c r="B25" s="12"/>
      <c r="C25" s="12"/>
      <c r="D25" s="12"/>
      <c r="E25" s="12"/>
      <c r="F25" s="12"/>
    </row>
    <row r="26" customFormat="false" ht="15" hidden="false" customHeight="false" outlineLevel="0" collapsed="false">
      <c r="A26" s="13" t="s">
        <v>37</v>
      </c>
      <c r="B26" s="13" t="s">
        <v>38</v>
      </c>
      <c r="C26" s="13" t="s">
        <v>39</v>
      </c>
      <c r="D26" s="13" t="s">
        <v>40</v>
      </c>
      <c r="E26" s="13" t="s">
        <v>41</v>
      </c>
      <c r="F26" s="13" t="s">
        <v>42</v>
      </c>
    </row>
    <row r="27" customFormat="false" ht="22.35" hidden="false" customHeight="false" outlineLevel="0" collapsed="false">
      <c r="A27" s="14" t="s">
        <v>69</v>
      </c>
      <c r="B27" s="15" t="s">
        <v>70</v>
      </c>
      <c r="C27" s="15" t="s">
        <v>71</v>
      </c>
      <c r="D27" s="16" t="s">
        <v>46</v>
      </c>
      <c r="E27" s="17"/>
      <c r="F27" s="15"/>
    </row>
    <row r="28" customFormat="false" ht="22.35" hidden="false" customHeight="false" outlineLevel="0" collapsed="false">
      <c r="A28" s="14" t="s">
        <v>72</v>
      </c>
      <c r="B28" s="15" t="s">
        <v>73</v>
      </c>
      <c r="C28" s="15" t="s">
        <v>74</v>
      </c>
      <c r="D28" s="16" t="s">
        <v>46</v>
      </c>
      <c r="E28" s="17"/>
      <c r="F28" s="15"/>
    </row>
    <row r="29" customFormat="false" ht="22.35" hidden="false" customHeight="false" outlineLevel="0" collapsed="false">
      <c r="A29" s="14" t="s">
        <v>75</v>
      </c>
      <c r="B29" s="15" t="s">
        <v>76</v>
      </c>
      <c r="C29" s="15" t="s">
        <v>77</v>
      </c>
      <c r="D29" s="16" t="s">
        <v>46</v>
      </c>
      <c r="E29" s="17"/>
      <c r="F29" s="15"/>
    </row>
    <row r="30" customFormat="false" ht="22.35" hidden="false" customHeight="false" outlineLevel="0" collapsed="false">
      <c r="A30" s="14" t="s">
        <v>78</v>
      </c>
      <c r="B30" s="15" t="s">
        <v>79</v>
      </c>
      <c r="C30" s="15" t="s">
        <v>80</v>
      </c>
      <c r="D30" s="16" t="s">
        <v>46</v>
      </c>
      <c r="E30" s="17"/>
      <c r="F30" s="15"/>
    </row>
    <row r="31" customFormat="false" ht="15" hidden="false" customHeight="false" outlineLevel="0" collapsed="false">
      <c r="A31" s="14" t="s">
        <v>81</v>
      </c>
      <c r="B31" s="15" t="s">
        <v>82</v>
      </c>
      <c r="C31" s="15" t="s">
        <v>83</v>
      </c>
      <c r="D31" s="16" t="s">
        <v>84</v>
      </c>
      <c r="E31" s="17"/>
      <c r="F31" s="15"/>
    </row>
    <row r="32" customFormat="false" ht="22.35" hidden="false" customHeight="false" outlineLevel="0" collapsed="false">
      <c r="A32" s="14" t="s">
        <v>85</v>
      </c>
      <c r="B32" s="15" t="s">
        <v>86</v>
      </c>
      <c r="C32" s="15" t="s">
        <v>87</v>
      </c>
      <c r="D32" s="16" t="s">
        <v>46</v>
      </c>
      <c r="E32" s="17"/>
      <c r="F32" s="15"/>
    </row>
    <row r="34" customFormat="false" ht="18" hidden="false" customHeight="true" outlineLevel="0" collapsed="false">
      <c r="A34" s="12" t="s">
        <v>88</v>
      </c>
      <c r="B34" s="12"/>
      <c r="C34" s="12"/>
      <c r="D34" s="12"/>
      <c r="E34" s="12"/>
      <c r="F34" s="12"/>
    </row>
    <row r="35" customFormat="false" ht="15" hidden="false" customHeight="false" outlineLevel="0" collapsed="false">
      <c r="A35" s="13" t="s">
        <v>37</v>
      </c>
      <c r="B35" s="13" t="s">
        <v>38</v>
      </c>
      <c r="C35" s="13" t="s">
        <v>39</v>
      </c>
      <c r="D35" s="13" t="s">
        <v>40</v>
      </c>
      <c r="E35" s="13" t="s">
        <v>41</v>
      </c>
      <c r="F35" s="13" t="s">
        <v>42</v>
      </c>
    </row>
    <row r="36" customFormat="false" ht="15" hidden="false" customHeight="false" outlineLevel="0" collapsed="false">
      <c r="A36" s="14" t="s">
        <v>89</v>
      </c>
      <c r="B36" s="15" t="s">
        <v>90</v>
      </c>
      <c r="C36" s="15" t="s">
        <v>91</v>
      </c>
      <c r="D36" s="16" t="s">
        <v>46</v>
      </c>
      <c r="E36" s="17"/>
      <c r="F36" s="15"/>
    </row>
    <row r="37" customFormat="false" ht="15" hidden="false" customHeight="false" outlineLevel="0" collapsed="false">
      <c r="A37" s="14" t="s">
        <v>92</v>
      </c>
      <c r="B37" s="15" t="s">
        <v>93</v>
      </c>
      <c r="C37" s="15" t="s">
        <v>94</v>
      </c>
      <c r="D37" s="16" t="s">
        <v>46</v>
      </c>
      <c r="E37" s="17"/>
      <c r="F37" s="15"/>
    </row>
    <row r="38" customFormat="false" ht="22.35" hidden="false" customHeight="false" outlineLevel="0" collapsed="false">
      <c r="A38" s="14" t="s">
        <v>95</v>
      </c>
      <c r="B38" s="15" t="s">
        <v>96</v>
      </c>
      <c r="C38" s="15" t="s">
        <v>97</v>
      </c>
      <c r="D38" s="16" t="s">
        <v>46</v>
      </c>
      <c r="E38" s="17"/>
      <c r="F38" s="15"/>
    </row>
    <row r="39" customFormat="false" ht="15" hidden="false" customHeight="false" outlineLevel="0" collapsed="false">
      <c r="A39" s="14" t="s">
        <v>98</v>
      </c>
      <c r="B39" s="15" t="s">
        <v>99</v>
      </c>
      <c r="C39" s="15" t="s">
        <v>100</v>
      </c>
      <c r="D39" s="16" t="s">
        <v>46</v>
      </c>
      <c r="E39" s="17"/>
      <c r="F39" s="15"/>
    </row>
    <row r="41" customFormat="false" ht="18" hidden="false" customHeight="true" outlineLevel="0" collapsed="false">
      <c r="A41" s="12" t="s">
        <v>101</v>
      </c>
      <c r="B41" s="12"/>
      <c r="C41" s="12"/>
      <c r="D41" s="12"/>
      <c r="E41" s="12"/>
      <c r="F41" s="12"/>
    </row>
    <row r="42" customFormat="false" ht="39.75" hidden="false" customHeight="true" outlineLevel="0" collapsed="false">
      <c r="A42" s="18" t="s">
        <v>102</v>
      </c>
      <c r="B42" s="18"/>
      <c r="C42" s="18"/>
      <c r="D42" s="18"/>
      <c r="E42" s="18"/>
      <c r="F42" s="18"/>
    </row>
    <row r="43" customFormat="false" ht="15" hidden="false" customHeight="false" outlineLevel="0" collapsed="false">
      <c r="A43" s="13" t="s">
        <v>37</v>
      </c>
      <c r="B43" s="13" t="s">
        <v>38</v>
      </c>
      <c r="C43" s="13" t="s">
        <v>39</v>
      </c>
      <c r="D43" s="13" t="s">
        <v>40</v>
      </c>
      <c r="E43" s="13" t="s">
        <v>41</v>
      </c>
      <c r="F43" s="13" t="s">
        <v>42</v>
      </c>
    </row>
    <row r="44" customFormat="false" ht="15" hidden="false" customHeight="false" outlineLevel="0" collapsed="false">
      <c r="A44" s="14" t="s">
        <v>103</v>
      </c>
      <c r="B44" s="15" t="s">
        <v>104</v>
      </c>
      <c r="C44" s="15" t="s">
        <v>105</v>
      </c>
      <c r="D44" s="16" t="s">
        <v>46</v>
      </c>
      <c r="E44" s="17"/>
      <c r="F44" s="15"/>
    </row>
    <row r="45" customFormat="false" ht="15" hidden="false" customHeight="false" outlineLevel="0" collapsed="false">
      <c r="A45" s="14" t="s">
        <v>106</v>
      </c>
      <c r="B45" s="15" t="s">
        <v>107</v>
      </c>
      <c r="C45" s="15" t="s">
        <v>108</v>
      </c>
      <c r="D45" s="16" t="s">
        <v>46</v>
      </c>
      <c r="E45" s="17"/>
      <c r="F45" s="15"/>
    </row>
    <row r="46" customFormat="false" ht="15" hidden="false" customHeight="false" outlineLevel="0" collapsed="false">
      <c r="A46" s="14" t="s">
        <v>109</v>
      </c>
      <c r="B46" s="15" t="s">
        <v>110</v>
      </c>
      <c r="C46" s="15" t="s">
        <v>111</v>
      </c>
      <c r="D46" s="16" t="s">
        <v>46</v>
      </c>
      <c r="E46" s="17"/>
      <c r="F46" s="15"/>
    </row>
    <row r="48" customFormat="false" ht="18" hidden="false" customHeight="true" outlineLevel="0" collapsed="false">
      <c r="A48" s="12" t="s">
        <v>112</v>
      </c>
      <c r="B48" s="12"/>
      <c r="C48" s="12"/>
      <c r="D48" s="12"/>
      <c r="E48" s="12"/>
      <c r="F48" s="12"/>
    </row>
    <row r="49" customFormat="false" ht="15" hidden="false" customHeight="false" outlineLevel="0" collapsed="false">
      <c r="A49" s="13" t="s">
        <v>37</v>
      </c>
      <c r="B49" s="13" t="s">
        <v>38</v>
      </c>
      <c r="C49" s="13" t="s">
        <v>39</v>
      </c>
      <c r="D49" s="13" t="s">
        <v>40</v>
      </c>
      <c r="E49" s="13" t="s">
        <v>41</v>
      </c>
      <c r="F49" s="13" t="s">
        <v>42</v>
      </c>
    </row>
    <row r="50" customFormat="false" ht="15" hidden="false" customHeight="false" outlineLevel="0" collapsed="false">
      <c r="A50" s="14" t="s">
        <v>113</v>
      </c>
      <c r="B50" s="15" t="s">
        <v>114</v>
      </c>
      <c r="C50" s="15" t="s">
        <v>115</v>
      </c>
      <c r="D50" s="16" t="s">
        <v>116</v>
      </c>
      <c r="E50" s="17"/>
      <c r="F50" s="15"/>
    </row>
    <row r="51" customFormat="false" ht="15" hidden="false" customHeight="false" outlineLevel="0" collapsed="false">
      <c r="A51" s="14" t="s">
        <v>117</v>
      </c>
      <c r="B51" s="15" t="s">
        <v>118</v>
      </c>
      <c r="C51" s="15" t="s">
        <v>119</v>
      </c>
      <c r="D51" s="16" t="s">
        <v>116</v>
      </c>
      <c r="E51" s="17"/>
      <c r="F51" s="15"/>
    </row>
    <row r="52" customFormat="false" ht="15" hidden="false" customHeight="false" outlineLevel="0" collapsed="false">
      <c r="A52" s="14" t="s">
        <v>120</v>
      </c>
      <c r="B52" s="15" t="s">
        <v>121</v>
      </c>
      <c r="C52" s="15" t="s">
        <v>122</v>
      </c>
      <c r="D52" s="16" t="s">
        <v>123</v>
      </c>
      <c r="E52" s="17"/>
      <c r="F52" s="15"/>
    </row>
    <row r="53" customFormat="false" ht="15" hidden="false" customHeight="false" outlineLevel="0" collapsed="false">
      <c r="A53" s="14" t="s">
        <v>124</v>
      </c>
      <c r="B53" s="15" t="s">
        <v>125</v>
      </c>
      <c r="C53" s="15" t="s">
        <v>126</v>
      </c>
      <c r="D53" s="16" t="s">
        <v>46</v>
      </c>
      <c r="E53" s="17"/>
      <c r="F53" s="15"/>
    </row>
    <row r="54" customFormat="false" ht="15" hidden="false" customHeight="false" outlineLevel="0" collapsed="false">
      <c r="A54" s="14" t="s">
        <v>127</v>
      </c>
      <c r="B54" s="15" t="s">
        <v>128</v>
      </c>
      <c r="C54" s="15" t="s">
        <v>129</v>
      </c>
      <c r="D54" s="16" t="s">
        <v>46</v>
      </c>
      <c r="E54" s="17"/>
      <c r="F54" s="15"/>
    </row>
    <row r="55" customFormat="false" ht="15" hidden="false" customHeight="false" outlineLevel="0" collapsed="false">
      <c r="A55" s="14" t="s">
        <v>130</v>
      </c>
      <c r="B55" s="15" t="s">
        <v>131</v>
      </c>
      <c r="C55" s="15" t="s">
        <v>132</v>
      </c>
      <c r="D55" s="16" t="s">
        <v>46</v>
      </c>
      <c r="E55" s="17"/>
      <c r="F55" s="15"/>
    </row>
  </sheetData>
  <mergeCells count="11">
    <mergeCell ref="A1:F1"/>
    <mergeCell ref="A2:F2"/>
    <mergeCell ref="A3:F3"/>
    <mergeCell ref="A4:F4"/>
    <mergeCell ref="A6:F6"/>
    <mergeCell ref="A14:F14"/>
    <mergeCell ref="A25:F25"/>
    <mergeCell ref="A34:F34"/>
    <mergeCell ref="A41:F41"/>
    <mergeCell ref="A42:F42"/>
    <mergeCell ref="A48:F48"/>
  </mergeCells>
  <conditionalFormatting sqref="E16:E55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dataValidations count="1">
    <dataValidation allowBlank="true" error="Choose Pass, Fail, or N/A" errorStyle="stop" errorTitle="Invalid" operator="between" prompt="Pass / Fail / N/A" promptTitle="Result" showDropDown="false" showErrorMessage="false" showInputMessage="false" sqref="E16:E23 E27:E32 E36:E39 E44:E46 E50:E55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5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34"/>
  </cols>
  <sheetData>
    <row r="1" customFormat="false" ht="24" hidden="false" customHeight="true" outlineLevel="0" collapsed="false">
      <c r="A1" s="6" t="s">
        <v>133</v>
      </c>
      <c r="B1" s="6"/>
      <c r="C1" s="6"/>
      <c r="D1" s="6"/>
      <c r="E1" s="6"/>
      <c r="F1" s="6"/>
    </row>
    <row r="2" customFormat="false" ht="57.75" hidden="false" customHeight="true" outlineLevel="0" collapsed="false">
      <c r="A2" s="7" t="s">
        <v>134</v>
      </c>
      <c r="B2" s="7"/>
      <c r="C2" s="7"/>
      <c r="D2" s="7"/>
      <c r="E2" s="7"/>
      <c r="F2" s="7"/>
    </row>
    <row r="3" customFormat="false" ht="43.5" hidden="false" customHeight="true" outlineLevel="0" collapsed="false">
      <c r="A3" s="8" t="s">
        <v>15</v>
      </c>
      <c r="B3" s="8"/>
      <c r="C3" s="8"/>
      <c r="D3" s="8"/>
      <c r="E3" s="8"/>
      <c r="F3" s="8"/>
    </row>
    <row r="4" customFormat="false" ht="19.5" hidden="false" customHeight="true" outlineLevel="0" collapsed="false">
      <c r="A4" s="9" t="str">
        <f aca="false">CONCATENATE("Checks: ",21,"   Pass: ",COUNTIF(E16:E45,"Pass"),"   Fail: ",COUNTIF(E16:E45,"Fail"),"   N/A: ",COUNTIF(E16:E45,"N/A"),"   Remaining: ",21-COUNTIF(E16:E45,"Pass")-COUNTIF(E16:E45,"Fail")-COUNTIF(E16:E45,"N/A"))</f>
        <v>Checks: 21   Pass: 0   Fail: 0   N/A: 0   Remaining: 21</v>
      </c>
      <c r="B4" s="9"/>
      <c r="C4" s="9"/>
      <c r="D4" s="9"/>
      <c r="E4" s="9"/>
      <c r="F4" s="9"/>
    </row>
    <row r="6" customFormat="false" ht="15" hidden="false" customHeight="true" outlineLevel="0" collapsed="false">
      <c r="A6" s="10" t="s">
        <v>16</v>
      </c>
      <c r="B6" s="10"/>
      <c r="C6" s="10"/>
      <c r="D6" s="10"/>
      <c r="E6" s="10"/>
      <c r="F6" s="10"/>
    </row>
    <row r="7" customFormat="false" ht="22.35" hidden="false" customHeight="false" outlineLevel="0" collapsed="false">
      <c r="A7" s="11" t="s">
        <v>17</v>
      </c>
      <c r="B7" s="11" t="s">
        <v>18</v>
      </c>
      <c r="C7" s="11" t="s">
        <v>19</v>
      </c>
      <c r="D7" s="11" t="s">
        <v>20</v>
      </c>
      <c r="E7" s="11"/>
      <c r="F7" s="11"/>
    </row>
    <row r="8" customFormat="false" ht="22.35" hidden="false" customHeight="false" outlineLevel="0" collapsed="false">
      <c r="A8" s="11" t="s">
        <v>21</v>
      </c>
      <c r="B8" s="11" t="s">
        <v>22</v>
      </c>
      <c r="C8" s="11" t="s">
        <v>23</v>
      </c>
      <c r="D8" s="11" t="s">
        <v>20</v>
      </c>
      <c r="E8" s="11"/>
      <c r="F8" s="11"/>
    </row>
    <row r="9" customFormat="false" ht="32.8" hidden="false" customHeight="false" outlineLevel="0" collapsed="false">
      <c r="A9" s="11" t="s">
        <v>24</v>
      </c>
      <c r="B9" s="11" t="s">
        <v>25</v>
      </c>
      <c r="C9" s="11" t="s">
        <v>26</v>
      </c>
      <c r="D9" s="11" t="s">
        <v>20</v>
      </c>
      <c r="E9" s="11"/>
      <c r="F9" s="11"/>
    </row>
    <row r="10" customFormat="false" ht="22.35" hidden="false" customHeight="false" outlineLevel="0" collapsed="false">
      <c r="A10" s="11" t="s">
        <v>27</v>
      </c>
      <c r="B10" s="11" t="s">
        <v>28</v>
      </c>
      <c r="C10" s="11" t="s">
        <v>29</v>
      </c>
      <c r="D10" s="11" t="s">
        <v>20</v>
      </c>
      <c r="E10" s="11"/>
      <c r="F10" s="11"/>
    </row>
    <row r="11" customFormat="false" ht="22.35" hidden="false" customHeight="false" outlineLevel="0" collapsed="false">
      <c r="A11" s="11" t="s">
        <v>30</v>
      </c>
      <c r="B11" s="11" t="s">
        <v>31</v>
      </c>
      <c r="C11" s="11" t="s">
        <v>32</v>
      </c>
      <c r="D11" s="11" t="s">
        <v>20</v>
      </c>
      <c r="E11" s="11"/>
      <c r="F11" s="11"/>
    </row>
    <row r="12" customFormat="false" ht="22.35" hidden="false" customHeight="false" outlineLevel="0" collapsed="false">
      <c r="A12" s="11" t="s">
        <v>33</v>
      </c>
      <c r="B12" s="11" t="s">
        <v>34</v>
      </c>
      <c r="C12" s="11" t="s">
        <v>35</v>
      </c>
      <c r="D12" s="11" t="s">
        <v>20</v>
      </c>
      <c r="E12" s="11"/>
      <c r="F12" s="11"/>
    </row>
    <row r="14" customFormat="false" ht="18" hidden="false" customHeight="true" outlineLevel="0" collapsed="false">
      <c r="A14" s="12" t="s">
        <v>135</v>
      </c>
      <c r="B14" s="12"/>
      <c r="C14" s="12"/>
      <c r="D14" s="12"/>
      <c r="E14" s="12"/>
      <c r="F14" s="12"/>
    </row>
    <row r="15" customFormat="false" ht="15" hidden="false" customHeight="false" outlineLevel="0" collapsed="false">
      <c r="A15" s="13" t="s">
        <v>37</v>
      </c>
      <c r="B15" s="13" t="s">
        <v>38</v>
      </c>
      <c r="C15" s="13" t="s">
        <v>39</v>
      </c>
      <c r="D15" s="13" t="s">
        <v>40</v>
      </c>
      <c r="E15" s="13" t="s">
        <v>41</v>
      </c>
      <c r="F15" s="13" t="s">
        <v>42</v>
      </c>
    </row>
    <row r="16" customFormat="false" ht="15" hidden="false" customHeight="false" outlineLevel="0" collapsed="false">
      <c r="A16" s="14" t="s">
        <v>136</v>
      </c>
      <c r="B16" s="15" t="s">
        <v>137</v>
      </c>
      <c r="C16" s="15" t="s">
        <v>138</v>
      </c>
      <c r="D16" s="16" t="s">
        <v>46</v>
      </c>
      <c r="E16" s="17"/>
      <c r="F16" s="15"/>
    </row>
    <row r="17" customFormat="false" ht="15" hidden="false" customHeight="false" outlineLevel="0" collapsed="false">
      <c r="A17" s="14" t="s">
        <v>139</v>
      </c>
      <c r="B17" s="15" t="s">
        <v>140</v>
      </c>
      <c r="C17" s="15" t="s">
        <v>141</v>
      </c>
      <c r="D17" s="16" t="s">
        <v>46</v>
      </c>
      <c r="E17" s="17"/>
      <c r="F17" s="15"/>
    </row>
    <row r="18" customFormat="false" ht="15" hidden="false" customHeight="false" outlineLevel="0" collapsed="false">
      <c r="A18" s="14" t="s">
        <v>142</v>
      </c>
      <c r="B18" s="15" t="s">
        <v>143</v>
      </c>
      <c r="C18" s="15" t="s">
        <v>144</v>
      </c>
      <c r="D18" s="16" t="s">
        <v>46</v>
      </c>
      <c r="E18" s="17"/>
      <c r="F18" s="15"/>
    </row>
    <row r="19" customFormat="false" ht="22.35" hidden="false" customHeight="false" outlineLevel="0" collapsed="false">
      <c r="A19" s="14" t="s">
        <v>145</v>
      </c>
      <c r="B19" s="15" t="s">
        <v>146</v>
      </c>
      <c r="C19" s="15" t="s">
        <v>147</v>
      </c>
      <c r="D19" s="16" t="s">
        <v>46</v>
      </c>
      <c r="E19" s="17"/>
      <c r="F19" s="15"/>
    </row>
    <row r="20" customFormat="false" ht="15" hidden="false" customHeight="false" outlineLevel="0" collapsed="false">
      <c r="A20" s="14" t="s">
        <v>148</v>
      </c>
      <c r="B20" s="15" t="s">
        <v>149</v>
      </c>
      <c r="C20" s="15" t="s">
        <v>150</v>
      </c>
      <c r="D20" s="16" t="s">
        <v>46</v>
      </c>
      <c r="E20" s="17"/>
      <c r="F20" s="15"/>
    </row>
    <row r="21" customFormat="false" ht="15" hidden="false" customHeight="false" outlineLevel="0" collapsed="false">
      <c r="A21" s="14" t="s">
        <v>151</v>
      </c>
      <c r="B21" s="15" t="s">
        <v>152</v>
      </c>
      <c r="C21" s="15" t="s">
        <v>153</v>
      </c>
      <c r="D21" s="16" t="s">
        <v>46</v>
      </c>
      <c r="E21" s="17"/>
      <c r="F21" s="15"/>
    </row>
    <row r="23" customFormat="false" ht="18" hidden="false" customHeight="true" outlineLevel="0" collapsed="false">
      <c r="A23" s="12" t="s">
        <v>154</v>
      </c>
      <c r="B23" s="12"/>
      <c r="C23" s="12"/>
      <c r="D23" s="12"/>
      <c r="E23" s="12"/>
      <c r="F23" s="12"/>
    </row>
    <row r="24" customFormat="false" ht="15" hidden="false" customHeight="false" outlineLevel="0" collapsed="false">
      <c r="A24" s="13" t="s">
        <v>37</v>
      </c>
      <c r="B24" s="13" t="s">
        <v>38</v>
      </c>
      <c r="C24" s="13" t="s">
        <v>39</v>
      </c>
      <c r="D24" s="13" t="s">
        <v>40</v>
      </c>
      <c r="E24" s="13" t="s">
        <v>41</v>
      </c>
      <c r="F24" s="13" t="s">
        <v>42</v>
      </c>
    </row>
    <row r="25" customFormat="false" ht="15" hidden="false" customHeight="false" outlineLevel="0" collapsed="false">
      <c r="A25" s="14" t="s">
        <v>155</v>
      </c>
      <c r="B25" s="15" t="s">
        <v>156</v>
      </c>
      <c r="C25" s="15" t="s">
        <v>157</v>
      </c>
      <c r="D25" s="16" t="s">
        <v>46</v>
      </c>
      <c r="E25" s="17"/>
      <c r="F25" s="15"/>
    </row>
    <row r="26" customFormat="false" ht="15" hidden="false" customHeight="false" outlineLevel="0" collapsed="false">
      <c r="A26" s="14" t="s">
        <v>158</v>
      </c>
      <c r="B26" s="15" t="s">
        <v>159</v>
      </c>
      <c r="C26" s="15" t="s">
        <v>160</v>
      </c>
      <c r="D26" s="16" t="s">
        <v>46</v>
      </c>
      <c r="E26" s="17"/>
      <c r="F26" s="15"/>
    </row>
    <row r="27" customFormat="false" ht="15" hidden="false" customHeight="false" outlineLevel="0" collapsed="false">
      <c r="A27" s="14" t="s">
        <v>161</v>
      </c>
      <c r="B27" s="15" t="s">
        <v>162</v>
      </c>
      <c r="C27" s="15" t="s">
        <v>163</v>
      </c>
      <c r="D27" s="16" t="s">
        <v>46</v>
      </c>
      <c r="E27" s="17"/>
      <c r="F27" s="15"/>
    </row>
    <row r="28" customFormat="false" ht="15" hidden="false" customHeight="false" outlineLevel="0" collapsed="false">
      <c r="A28" s="14" t="s">
        <v>164</v>
      </c>
      <c r="B28" s="15" t="s">
        <v>165</v>
      </c>
      <c r="C28" s="15" t="s">
        <v>166</v>
      </c>
      <c r="D28" s="16" t="s">
        <v>84</v>
      </c>
      <c r="E28" s="17"/>
      <c r="F28" s="15"/>
    </row>
    <row r="29" customFormat="false" ht="15" hidden="false" customHeight="false" outlineLevel="0" collapsed="false">
      <c r="A29" s="14" t="s">
        <v>167</v>
      </c>
      <c r="B29" s="15" t="s">
        <v>168</v>
      </c>
      <c r="C29" s="15" t="s">
        <v>169</v>
      </c>
      <c r="D29" s="16" t="s">
        <v>46</v>
      </c>
      <c r="E29" s="17"/>
      <c r="F29" s="15"/>
    </row>
    <row r="30" customFormat="false" ht="15" hidden="false" customHeight="false" outlineLevel="0" collapsed="false">
      <c r="A30" s="14" t="s">
        <v>170</v>
      </c>
      <c r="B30" s="15" t="s">
        <v>171</v>
      </c>
      <c r="C30" s="15" t="s">
        <v>172</v>
      </c>
      <c r="D30" s="16" t="s">
        <v>46</v>
      </c>
      <c r="E30" s="17"/>
      <c r="F30" s="15"/>
    </row>
    <row r="32" customFormat="false" ht="18" hidden="false" customHeight="true" outlineLevel="0" collapsed="false">
      <c r="A32" s="12" t="s">
        <v>173</v>
      </c>
      <c r="B32" s="12"/>
      <c r="C32" s="12"/>
      <c r="D32" s="12"/>
      <c r="E32" s="12"/>
      <c r="F32" s="12"/>
    </row>
    <row r="33" customFormat="false" ht="15" hidden="false" customHeight="false" outlineLevel="0" collapsed="false">
      <c r="A33" s="13" t="s">
        <v>37</v>
      </c>
      <c r="B33" s="13" t="s">
        <v>38</v>
      </c>
      <c r="C33" s="13" t="s">
        <v>39</v>
      </c>
      <c r="D33" s="13" t="s">
        <v>40</v>
      </c>
      <c r="E33" s="13" t="s">
        <v>41</v>
      </c>
      <c r="F33" s="13" t="s">
        <v>42</v>
      </c>
    </row>
    <row r="34" customFormat="false" ht="15" hidden="false" customHeight="false" outlineLevel="0" collapsed="false">
      <c r="A34" s="14" t="s">
        <v>174</v>
      </c>
      <c r="B34" s="15" t="s">
        <v>175</v>
      </c>
      <c r="C34" s="15" t="s">
        <v>176</v>
      </c>
      <c r="D34" s="16" t="s">
        <v>46</v>
      </c>
      <c r="E34" s="17"/>
      <c r="F34" s="15"/>
    </row>
    <row r="35" customFormat="false" ht="15" hidden="false" customHeight="false" outlineLevel="0" collapsed="false">
      <c r="A35" s="14" t="s">
        <v>177</v>
      </c>
      <c r="B35" s="15" t="s">
        <v>178</v>
      </c>
      <c r="C35" s="15" t="s">
        <v>179</v>
      </c>
      <c r="D35" s="16" t="s">
        <v>46</v>
      </c>
      <c r="E35" s="17"/>
      <c r="F35" s="15"/>
    </row>
    <row r="36" customFormat="false" ht="22.35" hidden="false" customHeight="false" outlineLevel="0" collapsed="false">
      <c r="A36" s="14" t="s">
        <v>180</v>
      </c>
      <c r="B36" s="15" t="s">
        <v>181</v>
      </c>
      <c r="C36" s="15" t="s">
        <v>182</v>
      </c>
      <c r="D36" s="16" t="s">
        <v>46</v>
      </c>
      <c r="E36" s="17"/>
      <c r="F36" s="15"/>
    </row>
    <row r="37" customFormat="false" ht="15" hidden="false" customHeight="false" outlineLevel="0" collapsed="false">
      <c r="A37" s="14" t="s">
        <v>183</v>
      </c>
      <c r="B37" s="15" t="s">
        <v>184</v>
      </c>
      <c r="C37" s="15" t="s">
        <v>185</v>
      </c>
      <c r="D37" s="16" t="s">
        <v>46</v>
      </c>
      <c r="E37" s="17"/>
      <c r="F37" s="15"/>
    </row>
    <row r="39" customFormat="false" ht="18" hidden="false" customHeight="true" outlineLevel="0" collapsed="false">
      <c r="A39" s="12" t="s">
        <v>186</v>
      </c>
      <c r="B39" s="12"/>
      <c r="C39" s="12"/>
      <c r="D39" s="12"/>
      <c r="E39" s="12"/>
      <c r="F39" s="12"/>
    </row>
    <row r="40" customFormat="false" ht="15" hidden="false" customHeight="false" outlineLevel="0" collapsed="false">
      <c r="A40" s="13" t="s">
        <v>37</v>
      </c>
      <c r="B40" s="13" t="s">
        <v>38</v>
      </c>
      <c r="C40" s="13" t="s">
        <v>39</v>
      </c>
      <c r="D40" s="13" t="s">
        <v>40</v>
      </c>
      <c r="E40" s="13" t="s">
        <v>41</v>
      </c>
      <c r="F40" s="13" t="s">
        <v>42</v>
      </c>
    </row>
    <row r="41" customFormat="false" ht="15" hidden="false" customHeight="false" outlineLevel="0" collapsed="false">
      <c r="A41" s="14" t="s">
        <v>187</v>
      </c>
      <c r="B41" s="15" t="s">
        <v>188</v>
      </c>
      <c r="C41" s="15" t="s">
        <v>189</v>
      </c>
      <c r="D41" s="16" t="s">
        <v>116</v>
      </c>
      <c r="E41" s="17"/>
      <c r="F41" s="15"/>
    </row>
    <row r="42" customFormat="false" ht="15" hidden="false" customHeight="false" outlineLevel="0" collapsed="false">
      <c r="A42" s="14" t="s">
        <v>190</v>
      </c>
      <c r="B42" s="15" t="s">
        <v>191</v>
      </c>
      <c r="C42" s="15" t="s">
        <v>192</v>
      </c>
      <c r="D42" s="16" t="s">
        <v>123</v>
      </c>
      <c r="E42" s="17"/>
      <c r="F42" s="15"/>
    </row>
    <row r="43" customFormat="false" ht="22.35" hidden="false" customHeight="false" outlineLevel="0" collapsed="false">
      <c r="A43" s="14" t="s">
        <v>193</v>
      </c>
      <c r="B43" s="15" t="s">
        <v>194</v>
      </c>
      <c r="C43" s="15" t="s">
        <v>195</v>
      </c>
      <c r="D43" s="16" t="s">
        <v>46</v>
      </c>
      <c r="E43" s="17"/>
      <c r="F43" s="15"/>
    </row>
    <row r="44" customFormat="false" ht="22.35" hidden="false" customHeight="false" outlineLevel="0" collapsed="false">
      <c r="A44" s="14" t="s">
        <v>196</v>
      </c>
      <c r="B44" s="15" t="s">
        <v>197</v>
      </c>
      <c r="C44" s="15" t="s">
        <v>198</v>
      </c>
      <c r="D44" s="16" t="s">
        <v>46</v>
      </c>
      <c r="E44" s="17"/>
      <c r="F44" s="15"/>
    </row>
    <row r="45" customFormat="false" ht="15" hidden="false" customHeight="false" outlineLevel="0" collapsed="false">
      <c r="A45" s="14" t="s">
        <v>199</v>
      </c>
      <c r="B45" s="15" t="s">
        <v>200</v>
      </c>
      <c r="C45" s="15" t="s">
        <v>201</v>
      </c>
      <c r="D45" s="16" t="s">
        <v>46</v>
      </c>
      <c r="E45" s="17"/>
      <c r="F45" s="15"/>
    </row>
  </sheetData>
  <mergeCells count="9">
    <mergeCell ref="A1:F1"/>
    <mergeCell ref="A2:F2"/>
    <mergeCell ref="A3:F3"/>
    <mergeCell ref="A4:F4"/>
    <mergeCell ref="A6:F6"/>
    <mergeCell ref="A14:F14"/>
    <mergeCell ref="A23:F23"/>
    <mergeCell ref="A32:F32"/>
    <mergeCell ref="A39:F39"/>
  </mergeCells>
  <conditionalFormatting sqref="E16:E45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dataValidations count="1">
    <dataValidation allowBlank="true" error="Choose Pass, Fail, or N/A" errorStyle="stop" errorTitle="Invalid" operator="between" prompt="Pass / Fail / N/A" promptTitle="Result" showDropDown="false" showErrorMessage="false" showInputMessage="false" sqref="E16:E21 E25:E30 E34:E37 E41:E45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5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34"/>
  </cols>
  <sheetData>
    <row r="1" customFormat="false" ht="24" hidden="false" customHeight="true" outlineLevel="0" collapsed="false">
      <c r="A1" s="6" t="s">
        <v>202</v>
      </c>
      <c r="B1" s="6"/>
      <c r="C1" s="6"/>
      <c r="D1" s="6"/>
      <c r="E1" s="6"/>
      <c r="F1" s="6"/>
    </row>
    <row r="2" customFormat="false" ht="57.75" hidden="false" customHeight="true" outlineLevel="0" collapsed="false">
      <c r="A2" s="7" t="s">
        <v>203</v>
      </c>
      <c r="B2" s="7"/>
      <c r="C2" s="7"/>
      <c r="D2" s="7"/>
      <c r="E2" s="7"/>
      <c r="F2" s="7"/>
    </row>
    <row r="3" customFormat="false" ht="43.5" hidden="false" customHeight="true" outlineLevel="0" collapsed="false">
      <c r="A3" s="8" t="s">
        <v>15</v>
      </c>
      <c r="B3" s="8"/>
      <c r="C3" s="8"/>
      <c r="D3" s="8"/>
      <c r="E3" s="8"/>
      <c r="F3" s="8"/>
    </row>
    <row r="4" customFormat="false" ht="19.5" hidden="false" customHeight="true" outlineLevel="0" collapsed="false">
      <c r="A4" s="9" t="str">
        <f aca="false">CONCATENATE("Checks: ",21,"   Pass: ",COUNTIF(E16:E45,"Pass"),"   Fail: ",COUNTIF(E16:E45,"Fail"),"   N/A: ",COUNTIF(E16:E45,"N/A"),"   Remaining: ",21-COUNTIF(E16:E45,"Pass")-COUNTIF(E16:E45,"Fail")-COUNTIF(E16:E45,"N/A"))</f>
        <v>Checks: 21   Pass: 0   Fail: 0   N/A: 0   Remaining: 21</v>
      </c>
      <c r="B4" s="9"/>
      <c r="C4" s="9"/>
      <c r="D4" s="9"/>
      <c r="E4" s="9"/>
      <c r="F4" s="9"/>
    </row>
    <row r="6" customFormat="false" ht="15" hidden="false" customHeight="true" outlineLevel="0" collapsed="false">
      <c r="A6" s="10" t="s">
        <v>16</v>
      </c>
      <c r="B6" s="10"/>
      <c r="C6" s="10"/>
      <c r="D6" s="10"/>
      <c r="E6" s="10"/>
      <c r="F6" s="10"/>
    </row>
    <row r="7" customFormat="false" ht="22.35" hidden="false" customHeight="false" outlineLevel="0" collapsed="false">
      <c r="A7" s="11" t="s">
        <v>17</v>
      </c>
      <c r="B7" s="11" t="s">
        <v>18</v>
      </c>
      <c r="C7" s="11" t="s">
        <v>19</v>
      </c>
      <c r="D7" s="11" t="s">
        <v>20</v>
      </c>
      <c r="E7" s="11"/>
      <c r="F7" s="11"/>
    </row>
    <row r="8" customFormat="false" ht="22.35" hidden="false" customHeight="false" outlineLevel="0" collapsed="false">
      <c r="A8" s="11" t="s">
        <v>21</v>
      </c>
      <c r="B8" s="11" t="s">
        <v>22</v>
      </c>
      <c r="C8" s="11" t="s">
        <v>23</v>
      </c>
      <c r="D8" s="11" t="s">
        <v>20</v>
      </c>
      <c r="E8" s="11"/>
      <c r="F8" s="11"/>
    </row>
    <row r="9" customFormat="false" ht="32.8" hidden="false" customHeight="false" outlineLevel="0" collapsed="false">
      <c r="A9" s="11" t="s">
        <v>24</v>
      </c>
      <c r="B9" s="11" t="s">
        <v>25</v>
      </c>
      <c r="C9" s="11" t="s">
        <v>26</v>
      </c>
      <c r="D9" s="11" t="s">
        <v>20</v>
      </c>
      <c r="E9" s="11"/>
      <c r="F9" s="11"/>
    </row>
    <row r="10" customFormat="false" ht="22.35" hidden="false" customHeight="false" outlineLevel="0" collapsed="false">
      <c r="A10" s="11" t="s">
        <v>27</v>
      </c>
      <c r="B10" s="11" t="s">
        <v>28</v>
      </c>
      <c r="C10" s="11" t="s">
        <v>29</v>
      </c>
      <c r="D10" s="11" t="s">
        <v>20</v>
      </c>
      <c r="E10" s="11"/>
      <c r="F10" s="11"/>
    </row>
    <row r="11" customFormat="false" ht="22.35" hidden="false" customHeight="false" outlineLevel="0" collapsed="false">
      <c r="A11" s="11" t="s">
        <v>30</v>
      </c>
      <c r="B11" s="11" t="s">
        <v>31</v>
      </c>
      <c r="C11" s="11" t="s">
        <v>32</v>
      </c>
      <c r="D11" s="11" t="s">
        <v>20</v>
      </c>
      <c r="E11" s="11"/>
      <c r="F11" s="11"/>
    </row>
    <row r="12" customFormat="false" ht="22.35" hidden="false" customHeight="false" outlineLevel="0" collapsed="false">
      <c r="A12" s="11" t="s">
        <v>33</v>
      </c>
      <c r="B12" s="11" t="s">
        <v>34</v>
      </c>
      <c r="C12" s="11" t="s">
        <v>35</v>
      </c>
      <c r="D12" s="11" t="s">
        <v>20</v>
      </c>
      <c r="E12" s="11"/>
      <c r="F12" s="11"/>
    </row>
    <row r="14" customFormat="false" ht="18" hidden="false" customHeight="true" outlineLevel="0" collapsed="false">
      <c r="A14" s="12" t="s">
        <v>204</v>
      </c>
      <c r="B14" s="12"/>
      <c r="C14" s="12"/>
      <c r="D14" s="12"/>
      <c r="E14" s="12"/>
      <c r="F14" s="12"/>
    </row>
    <row r="15" customFormat="false" ht="15" hidden="false" customHeight="false" outlineLevel="0" collapsed="false">
      <c r="A15" s="13" t="s">
        <v>37</v>
      </c>
      <c r="B15" s="13" t="s">
        <v>38</v>
      </c>
      <c r="C15" s="13" t="s">
        <v>39</v>
      </c>
      <c r="D15" s="13" t="s">
        <v>40</v>
      </c>
      <c r="E15" s="13" t="s">
        <v>41</v>
      </c>
      <c r="F15" s="13" t="s">
        <v>42</v>
      </c>
    </row>
    <row r="16" customFormat="false" ht="15" hidden="false" customHeight="false" outlineLevel="0" collapsed="false">
      <c r="A16" s="14" t="s">
        <v>205</v>
      </c>
      <c r="B16" s="15" t="s">
        <v>206</v>
      </c>
      <c r="C16" s="15" t="s">
        <v>207</v>
      </c>
      <c r="D16" s="16" t="s">
        <v>46</v>
      </c>
      <c r="E16" s="17"/>
      <c r="F16" s="15"/>
    </row>
    <row r="17" customFormat="false" ht="22.35" hidden="false" customHeight="false" outlineLevel="0" collapsed="false">
      <c r="A17" s="14" t="s">
        <v>208</v>
      </c>
      <c r="B17" s="15" t="s">
        <v>209</v>
      </c>
      <c r="C17" s="15" t="s">
        <v>210</v>
      </c>
      <c r="D17" s="16" t="s">
        <v>46</v>
      </c>
      <c r="E17" s="17"/>
      <c r="F17" s="15"/>
    </row>
    <row r="18" customFormat="false" ht="15" hidden="false" customHeight="false" outlineLevel="0" collapsed="false">
      <c r="A18" s="14" t="s">
        <v>211</v>
      </c>
      <c r="B18" s="15" t="s">
        <v>212</v>
      </c>
      <c r="C18" s="15" t="s">
        <v>213</v>
      </c>
      <c r="D18" s="16" t="s">
        <v>46</v>
      </c>
      <c r="E18" s="17"/>
      <c r="F18" s="15"/>
    </row>
    <row r="19" customFormat="false" ht="15" hidden="false" customHeight="false" outlineLevel="0" collapsed="false">
      <c r="A19" s="14" t="s">
        <v>214</v>
      </c>
      <c r="B19" s="15" t="s">
        <v>215</v>
      </c>
      <c r="C19" s="15" t="s">
        <v>216</v>
      </c>
      <c r="D19" s="16" t="s">
        <v>46</v>
      </c>
      <c r="E19" s="17"/>
      <c r="F19" s="15"/>
    </row>
    <row r="20" customFormat="false" ht="15" hidden="false" customHeight="false" outlineLevel="0" collapsed="false">
      <c r="A20" s="14" t="s">
        <v>217</v>
      </c>
      <c r="B20" s="15" t="s">
        <v>218</v>
      </c>
      <c r="C20" s="15" t="s">
        <v>219</v>
      </c>
      <c r="D20" s="16" t="s">
        <v>46</v>
      </c>
      <c r="E20" s="17"/>
      <c r="F20" s="15"/>
    </row>
    <row r="21" customFormat="false" ht="15" hidden="false" customHeight="false" outlineLevel="0" collapsed="false">
      <c r="A21" s="14" t="s">
        <v>220</v>
      </c>
      <c r="B21" s="15" t="s">
        <v>221</v>
      </c>
      <c r="C21" s="15" t="s">
        <v>222</v>
      </c>
      <c r="D21" s="16" t="s">
        <v>46</v>
      </c>
      <c r="E21" s="17"/>
      <c r="F21" s="15"/>
    </row>
    <row r="23" customFormat="false" ht="18" hidden="false" customHeight="true" outlineLevel="0" collapsed="false">
      <c r="A23" s="12" t="s">
        <v>223</v>
      </c>
      <c r="B23" s="12"/>
      <c r="C23" s="12"/>
      <c r="D23" s="12"/>
      <c r="E23" s="12"/>
      <c r="F23" s="12"/>
    </row>
    <row r="24" customFormat="false" ht="15" hidden="false" customHeight="false" outlineLevel="0" collapsed="false">
      <c r="A24" s="13" t="s">
        <v>37</v>
      </c>
      <c r="B24" s="13" t="s">
        <v>38</v>
      </c>
      <c r="C24" s="13" t="s">
        <v>39</v>
      </c>
      <c r="D24" s="13" t="s">
        <v>40</v>
      </c>
      <c r="E24" s="13" t="s">
        <v>41</v>
      </c>
      <c r="F24" s="13" t="s">
        <v>42</v>
      </c>
    </row>
    <row r="25" customFormat="false" ht="15" hidden="false" customHeight="false" outlineLevel="0" collapsed="false">
      <c r="A25" s="14" t="s">
        <v>224</v>
      </c>
      <c r="B25" s="15" t="s">
        <v>225</v>
      </c>
      <c r="C25" s="15" t="s">
        <v>226</v>
      </c>
      <c r="D25" s="16" t="s">
        <v>46</v>
      </c>
      <c r="E25" s="17"/>
      <c r="F25" s="15"/>
    </row>
    <row r="26" customFormat="false" ht="15" hidden="false" customHeight="false" outlineLevel="0" collapsed="false">
      <c r="A26" s="14" t="s">
        <v>227</v>
      </c>
      <c r="B26" s="15" t="s">
        <v>228</v>
      </c>
      <c r="C26" s="15" t="s">
        <v>229</v>
      </c>
      <c r="D26" s="16" t="s">
        <v>46</v>
      </c>
      <c r="E26" s="17"/>
      <c r="F26" s="15"/>
    </row>
    <row r="27" customFormat="false" ht="22.35" hidden="false" customHeight="false" outlineLevel="0" collapsed="false">
      <c r="A27" s="14" t="s">
        <v>230</v>
      </c>
      <c r="B27" s="15" t="s">
        <v>162</v>
      </c>
      <c r="C27" s="15" t="s">
        <v>231</v>
      </c>
      <c r="D27" s="16" t="s">
        <v>46</v>
      </c>
      <c r="E27" s="17"/>
      <c r="F27" s="15"/>
    </row>
    <row r="28" customFormat="false" ht="15" hidden="false" customHeight="false" outlineLevel="0" collapsed="false">
      <c r="A28" s="14" t="s">
        <v>232</v>
      </c>
      <c r="B28" s="15" t="s">
        <v>165</v>
      </c>
      <c r="C28" s="15" t="s">
        <v>166</v>
      </c>
      <c r="D28" s="16" t="s">
        <v>84</v>
      </c>
      <c r="E28" s="17"/>
      <c r="F28" s="15"/>
    </row>
    <row r="29" customFormat="false" ht="15" hidden="false" customHeight="false" outlineLevel="0" collapsed="false">
      <c r="A29" s="14" t="s">
        <v>233</v>
      </c>
      <c r="B29" s="15" t="s">
        <v>168</v>
      </c>
      <c r="C29" s="15" t="s">
        <v>234</v>
      </c>
      <c r="D29" s="16" t="s">
        <v>46</v>
      </c>
      <c r="E29" s="17"/>
      <c r="F29" s="15"/>
    </row>
    <row r="30" customFormat="false" ht="15" hidden="false" customHeight="false" outlineLevel="0" collapsed="false">
      <c r="A30" s="14" t="s">
        <v>235</v>
      </c>
      <c r="B30" s="15" t="s">
        <v>236</v>
      </c>
      <c r="C30" s="15" t="s">
        <v>237</v>
      </c>
      <c r="D30" s="16" t="s">
        <v>46</v>
      </c>
      <c r="E30" s="17"/>
      <c r="F30" s="15"/>
    </row>
    <row r="32" customFormat="false" ht="18" hidden="false" customHeight="true" outlineLevel="0" collapsed="false">
      <c r="A32" s="12" t="s">
        <v>238</v>
      </c>
      <c r="B32" s="12"/>
      <c r="C32" s="12"/>
      <c r="D32" s="12"/>
      <c r="E32" s="12"/>
      <c r="F32" s="12"/>
    </row>
    <row r="33" customFormat="false" ht="15" hidden="false" customHeight="false" outlineLevel="0" collapsed="false">
      <c r="A33" s="13" t="s">
        <v>37</v>
      </c>
      <c r="B33" s="13" t="s">
        <v>38</v>
      </c>
      <c r="C33" s="13" t="s">
        <v>39</v>
      </c>
      <c r="D33" s="13" t="s">
        <v>40</v>
      </c>
      <c r="E33" s="13" t="s">
        <v>41</v>
      </c>
      <c r="F33" s="13" t="s">
        <v>42</v>
      </c>
    </row>
    <row r="34" customFormat="false" ht="15" hidden="false" customHeight="false" outlineLevel="0" collapsed="false">
      <c r="A34" s="14" t="s">
        <v>239</v>
      </c>
      <c r="B34" s="15" t="s">
        <v>240</v>
      </c>
      <c r="C34" s="15" t="s">
        <v>241</v>
      </c>
      <c r="D34" s="16" t="s">
        <v>46</v>
      </c>
      <c r="E34" s="17"/>
      <c r="F34" s="15"/>
    </row>
    <row r="35" customFormat="false" ht="15" hidden="false" customHeight="false" outlineLevel="0" collapsed="false">
      <c r="A35" s="14" t="s">
        <v>242</v>
      </c>
      <c r="B35" s="15" t="s">
        <v>178</v>
      </c>
      <c r="C35" s="15" t="s">
        <v>243</v>
      </c>
      <c r="D35" s="16" t="s">
        <v>46</v>
      </c>
      <c r="E35" s="17"/>
      <c r="F35" s="15"/>
    </row>
    <row r="36" customFormat="false" ht="15" hidden="false" customHeight="false" outlineLevel="0" collapsed="false">
      <c r="A36" s="14" t="s">
        <v>244</v>
      </c>
      <c r="B36" s="15" t="s">
        <v>245</v>
      </c>
      <c r="C36" s="15" t="s">
        <v>246</v>
      </c>
      <c r="D36" s="16" t="s">
        <v>46</v>
      </c>
      <c r="E36" s="17"/>
      <c r="F36" s="15"/>
    </row>
    <row r="37" customFormat="false" ht="15" hidden="false" customHeight="false" outlineLevel="0" collapsed="false">
      <c r="A37" s="14" t="s">
        <v>247</v>
      </c>
      <c r="B37" s="15" t="s">
        <v>184</v>
      </c>
      <c r="C37" s="15" t="s">
        <v>185</v>
      </c>
      <c r="D37" s="16" t="s">
        <v>46</v>
      </c>
      <c r="E37" s="17"/>
      <c r="F37" s="15"/>
    </row>
    <row r="39" customFormat="false" ht="18" hidden="false" customHeight="true" outlineLevel="0" collapsed="false">
      <c r="A39" s="12" t="s">
        <v>248</v>
      </c>
      <c r="B39" s="12"/>
      <c r="C39" s="12"/>
      <c r="D39" s="12"/>
      <c r="E39" s="12"/>
      <c r="F39" s="12"/>
    </row>
    <row r="40" customFormat="false" ht="15" hidden="false" customHeight="false" outlineLevel="0" collapsed="false">
      <c r="A40" s="13" t="s">
        <v>37</v>
      </c>
      <c r="B40" s="13" t="s">
        <v>38</v>
      </c>
      <c r="C40" s="13" t="s">
        <v>39</v>
      </c>
      <c r="D40" s="13" t="s">
        <v>40</v>
      </c>
      <c r="E40" s="13" t="s">
        <v>41</v>
      </c>
      <c r="F40" s="13" t="s">
        <v>42</v>
      </c>
    </row>
    <row r="41" customFormat="false" ht="15" hidden="false" customHeight="false" outlineLevel="0" collapsed="false">
      <c r="A41" s="14" t="s">
        <v>249</v>
      </c>
      <c r="B41" s="15" t="s">
        <v>188</v>
      </c>
      <c r="C41" s="15" t="s">
        <v>250</v>
      </c>
      <c r="D41" s="16" t="s">
        <v>116</v>
      </c>
      <c r="E41" s="17"/>
      <c r="F41" s="15"/>
    </row>
    <row r="42" customFormat="false" ht="15" hidden="false" customHeight="false" outlineLevel="0" collapsed="false">
      <c r="A42" s="14" t="s">
        <v>251</v>
      </c>
      <c r="B42" s="15" t="s">
        <v>191</v>
      </c>
      <c r="C42" s="15" t="s">
        <v>192</v>
      </c>
      <c r="D42" s="16" t="s">
        <v>123</v>
      </c>
      <c r="E42" s="17"/>
      <c r="F42" s="15"/>
    </row>
    <row r="43" customFormat="false" ht="15" hidden="false" customHeight="false" outlineLevel="0" collapsed="false">
      <c r="A43" s="14" t="s">
        <v>252</v>
      </c>
      <c r="B43" s="15" t="s">
        <v>194</v>
      </c>
      <c r="C43" s="15" t="s">
        <v>253</v>
      </c>
      <c r="D43" s="16" t="s">
        <v>46</v>
      </c>
      <c r="E43" s="17"/>
      <c r="F43" s="15"/>
    </row>
    <row r="44" customFormat="false" ht="15" hidden="false" customHeight="false" outlineLevel="0" collapsed="false">
      <c r="A44" s="14" t="s">
        <v>254</v>
      </c>
      <c r="B44" s="15" t="s">
        <v>197</v>
      </c>
      <c r="C44" s="15" t="s">
        <v>255</v>
      </c>
      <c r="D44" s="16" t="s">
        <v>46</v>
      </c>
      <c r="E44" s="17"/>
      <c r="F44" s="15"/>
    </row>
    <row r="45" customFormat="false" ht="15" hidden="false" customHeight="false" outlineLevel="0" collapsed="false">
      <c r="A45" s="14" t="s">
        <v>256</v>
      </c>
      <c r="B45" s="15" t="s">
        <v>200</v>
      </c>
      <c r="C45" s="15" t="s">
        <v>257</v>
      </c>
      <c r="D45" s="16" t="s">
        <v>46</v>
      </c>
      <c r="E45" s="17"/>
      <c r="F45" s="15"/>
    </row>
  </sheetData>
  <mergeCells count="9">
    <mergeCell ref="A1:F1"/>
    <mergeCell ref="A2:F2"/>
    <mergeCell ref="A3:F3"/>
    <mergeCell ref="A4:F4"/>
    <mergeCell ref="A6:F6"/>
    <mergeCell ref="A14:F14"/>
    <mergeCell ref="A23:F23"/>
    <mergeCell ref="A32:F32"/>
    <mergeCell ref="A39:F39"/>
  </mergeCells>
  <conditionalFormatting sqref="E16:E45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dataValidations count="1">
    <dataValidation allowBlank="true" error="Choose Pass, Fail, or N/A" errorStyle="stop" errorTitle="Invalid" operator="between" prompt="Pass / Fail / N/A" promptTitle="Result" showDropDown="false" showErrorMessage="false" showInputMessage="false" sqref="E16:E21 E25:E30 E34:E37 E41:E45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5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34"/>
  </cols>
  <sheetData>
    <row r="1" customFormat="false" ht="24" hidden="false" customHeight="true" outlineLevel="0" collapsed="false">
      <c r="A1" s="6" t="s">
        <v>258</v>
      </c>
      <c r="B1" s="6"/>
      <c r="C1" s="6"/>
      <c r="D1" s="6"/>
      <c r="E1" s="6"/>
      <c r="F1" s="6"/>
    </row>
    <row r="2" customFormat="false" ht="57.75" hidden="false" customHeight="true" outlineLevel="0" collapsed="false">
      <c r="A2" s="7" t="s">
        <v>259</v>
      </c>
      <c r="B2" s="7"/>
      <c r="C2" s="7"/>
      <c r="D2" s="7"/>
      <c r="E2" s="7"/>
      <c r="F2" s="7"/>
    </row>
    <row r="3" customFormat="false" ht="43.5" hidden="false" customHeight="true" outlineLevel="0" collapsed="false">
      <c r="A3" s="8" t="s">
        <v>15</v>
      </c>
      <c r="B3" s="8"/>
      <c r="C3" s="8"/>
      <c r="D3" s="8"/>
      <c r="E3" s="8"/>
      <c r="F3" s="8"/>
    </row>
    <row r="4" customFormat="false" ht="19.5" hidden="false" customHeight="true" outlineLevel="0" collapsed="false">
      <c r="A4" s="9" t="str">
        <f aca="false">CONCATENATE("Checks: ",30,"   Pass: ",COUNTIF(E16:E57,"Pass"),"   Fail: ",COUNTIF(E16:E57,"Fail"),"   N/A: ",COUNTIF(E16:E57,"N/A"),"   Remaining: ",30-COUNTIF(E16:E57,"Pass")-COUNTIF(E16:E57,"Fail")-COUNTIF(E16:E57,"N/A"))</f>
        <v>Checks: 30   Pass: 0   Fail: 0   N/A: 0   Remaining: 30</v>
      </c>
      <c r="B4" s="9"/>
      <c r="C4" s="9"/>
      <c r="D4" s="9"/>
      <c r="E4" s="9"/>
      <c r="F4" s="9"/>
    </row>
    <row r="6" customFormat="false" ht="15" hidden="false" customHeight="true" outlineLevel="0" collapsed="false">
      <c r="A6" s="10" t="s">
        <v>16</v>
      </c>
      <c r="B6" s="10"/>
      <c r="C6" s="10"/>
      <c r="D6" s="10"/>
      <c r="E6" s="10"/>
      <c r="F6" s="10"/>
    </row>
    <row r="7" customFormat="false" ht="22.35" hidden="false" customHeight="false" outlineLevel="0" collapsed="false">
      <c r="A7" s="11" t="s">
        <v>17</v>
      </c>
      <c r="B7" s="11" t="s">
        <v>18</v>
      </c>
      <c r="C7" s="11" t="s">
        <v>19</v>
      </c>
      <c r="D7" s="11" t="s">
        <v>20</v>
      </c>
      <c r="E7" s="11"/>
      <c r="F7" s="11"/>
    </row>
    <row r="8" customFormat="false" ht="22.35" hidden="false" customHeight="false" outlineLevel="0" collapsed="false">
      <c r="A8" s="11" t="s">
        <v>21</v>
      </c>
      <c r="B8" s="11" t="s">
        <v>22</v>
      </c>
      <c r="C8" s="11" t="s">
        <v>23</v>
      </c>
      <c r="D8" s="11" t="s">
        <v>20</v>
      </c>
      <c r="E8" s="11"/>
      <c r="F8" s="11"/>
    </row>
    <row r="9" customFormat="false" ht="32.8" hidden="false" customHeight="false" outlineLevel="0" collapsed="false">
      <c r="A9" s="11" t="s">
        <v>24</v>
      </c>
      <c r="B9" s="11" t="s">
        <v>25</v>
      </c>
      <c r="C9" s="11" t="s">
        <v>26</v>
      </c>
      <c r="D9" s="11" t="s">
        <v>20</v>
      </c>
      <c r="E9" s="11"/>
      <c r="F9" s="11"/>
    </row>
    <row r="10" customFormat="false" ht="22.35" hidden="false" customHeight="false" outlineLevel="0" collapsed="false">
      <c r="A10" s="11" t="s">
        <v>27</v>
      </c>
      <c r="B10" s="11" t="s">
        <v>28</v>
      </c>
      <c r="C10" s="11" t="s">
        <v>29</v>
      </c>
      <c r="D10" s="11" t="s">
        <v>20</v>
      </c>
      <c r="E10" s="11"/>
      <c r="F10" s="11"/>
    </row>
    <row r="11" customFormat="false" ht="22.35" hidden="false" customHeight="false" outlineLevel="0" collapsed="false">
      <c r="A11" s="11" t="s">
        <v>30</v>
      </c>
      <c r="B11" s="11" t="s">
        <v>31</v>
      </c>
      <c r="C11" s="11" t="s">
        <v>32</v>
      </c>
      <c r="D11" s="11" t="s">
        <v>20</v>
      </c>
      <c r="E11" s="11"/>
      <c r="F11" s="11"/>
    </row>
    <row r="12" customFormat="false" ht="22.35" hidden="false" customHeight="false" outlineLevel="0" collapsed="false">
      <c r="A12" s="11" t="s">
        <v>33</v>
      </c>
      <c r="B12" s="11" t="s">
        <v>34</v>
      </c>
      <c r="C12" s="11" t="s">
        <v>35</v>
      </c>
      <c r="D12" s="11" t="s">
        <v>20</v>
      </c>
      <c r="E12" s="11"/>
      <c r="F12" s="11"/>
    </row>
    <row r="14" customFormat="false" ht="18" hidden="false" customHeight="true" outlineLevel="0" collapsed="false">
      <c r="A14" s="12" t="s">
        <v>260</v>
      </c>
      <c r="B14" s="12"/>
      <c r="C14" s="12"/>
      <c r="D14" s="12"/>
      <c r="E14" s="12"/>
      <c r="F14" s="12"/>
    </row>
    <row r="15" customFormat="false" ht="15" hidden="false" customHeight="false" outlineLevel="0" collapsed="false">
      <c r="A15" s="13" t="s">
        <v>37</v>
      </c>
      <c r="B15" s="13" t="s">
        <v>38</v>
      </c>
      <c r="C15" s="13" t="s">
        <v>39</v>
      </c>
      <c r="D15" s="13" t="s">
        <v>40</v>
      </c>
      <c r="E15" s="13" t="s">
        <v>41</v>
      </c>
      <c r="F15" s="13" t="s">
        <v>42</v>
      </c>
    </row>
    <row r="16" customFormat="false" ht="15" hidden="false" customHeight="false" outlineLevel="0" collapsed="false">
      <c r="A16" s="14" t="s">
        <v>261</v>
      </c>
      <c r="B16" s="15" t="s">
        <v>262</v>
      </c>
      <c r="C16" s="15" t="s">
        <v>263</v>
      </c>
      <c r="D16" s="16" t="s">
        <v>46</v>
      </c>
      <c r="E16" s="17"/>
      <c r="F16" s="15"/>
    </row>
    <row r="17" customFormat="false" ht="15" hidden="false" customHeight="false" outlineLevel="0" collapsed="false">
      <c r="A17" s="14" t="s">
        <v>264</v>
      </c>
      <c r="B17" s="15" t="s">
        <v>265</v>
      </c>
      <c r="C17" s="15" t="s">
        <v>266</v>
      </c>
      <c r="D17" s="16" t="s">
        <v>46</v>
      </c>
      <c r="E17" s="17"/>
      <c r="F17" s="15"/>
    </row>
    <row r="18" customFormat="false" ht="15" hidden="false" customHeight="false" outlineLevel="0" collapsed="false">
      <c r="A18" s="14" t="s">
        <v>267</v>
      </c>
      <c r="B18" s="15" t="s">
        <v>268</v>
      </c>
      <c r="C18" s="15" t="s">
        <v>269</v>
      </c>
      <c r="D18" s="16" t="s">
        <v>46</v>
      </c>
      <c r="E18" s="17"/>
      <c r="F18" s="15"/>
    </row>
    <row r="19" customFormat="false" ht="22.35" hidden="false" customHeight="false" outlineLevel="0" collapsed="false">
      <c r="A19" s="14" t="s">
        <v>270</v>
      </c>
      <c r="B19" s="15" t="s">
        <v>271</v>
      </c>
      <c r="C19" s="15" t="s">
        <v>272</v>
      </c>
      <c r="D19" s="16" t="s">
        <v>46</v>
      </c>
      <c r="E19" s="17"/>
      <c r="F19" s="15"/>
    </row>
    <row r="20" customFormat="false" ht="15" hidden="false" customHeight="false" outlineLevel="0" collapsed="false">
      <c r="A20" s="14" t="s">
        <v>273</v>
      </c>
      <c r="B20" s="15" t="s">
        <v>274</v>
      </c>
      <c r="C20" s="15" t="s">
        <v>275</v>
      </c>
      <c r="D20" s="16" t="s">
        <v>46</v>
      </c>
      <c r="E20" s="17"/>
      <c r="F20" s="15"/>
    </row>
    <row r="21" customFormat="false" ht="15" hidden="false" customHeight="false" outlineLevel="0" collapsed="false">
      <c r="A21" s="14" t="s">
        <v>276</v>
      </c>
      <c r="B21" s="15" t="s">
        <v>277</v>
      </c>
      <c r="C21" s="15" t="s">
        <v>278</v>
      </c>
      <c r="D21" s="16" t="s">
        <v>46</v>
      </c>
      <c r="E21" s="17"/>
      <c r="F21" s="15"/>
    </row>
    <row r="22" customFormat="false" ht="15" hidden="false" customHeight="false" outlineLevel="0" collapsed="false">
      <c r="A22" s="14" t="s">
        <v>279</v>
      </c>
      <c r="B22" s="15" t="s">
        <v>280</v>
      </c>
      <c r="C22" s="15" t="s">
        <v>281</v>
      </c>
      <c r="D22" s="16" t="s">
        <v>46</v>
      </c>
      <c r="E22" s="17"/>
      <c r="F22" s="15"/>
    </row>
    <row r="24" customFormat="false" ht="18" hidden="false" customHeight="true" outlineLevel="0" collapsed="false">
      <c r="A24" s="12" t="s">
        <v>282</v>
      </c>
      <c r="B24" s="12"/>
      <c r="C24" s="12"/>
      <c r="D24" s="12"/>
      <c r="E24" s="12"/>
      <c r="F24" s="12"/>
    </row>
    <row r="25" customFormat="false" ht="15" hidden="false" customHeight="false" outlineLevel="0" collapsed="false">
      <c r="A25" s="13" t="s">
        <v>37</v>
      </c>
      <c r="B25" s="13" t="s">
        <v>38</v>
      </c>
      <c r="C25" s="13" t="s">
        <v>39</v>
      </c>
      <c r="D25" s="13" t="s">
        <v>40</v>
      </c>
      <c r="E25" s="13" t="s">
        <v>41</v>
      </c>
      <c r="F25" s="13" t="s">
        <v>42</v>
      </c>
    </row>
    <row r="26" customFormat="false" ht="15" hidden="false" customHeight="false" outlineLevel="0" collapsed="false">
      <c r="A26" s="14" t="s">
        <v>283</v>
      </c>
      <c r="B26" s="15" t="s">
        <v>225</v>
      </c>
      <c r="C26" s="15" t="s">
        <v>284</v>
      </c>
      <c r="D26" s="16" t="s">
        <v>46</v>
      </c>
      <c r="E26" s="17"/>
      <c r="F26" s="15"/>
    </row>
    <row r="27" customFormat="false" ht="15" hidden="false" customHeight="false" outlineLevel="0" collapsed="false">
      <c r="A27" s="14" t="s">
        <v>285</v>
      </c>
      <c r="B27" s="15" t="s">
        <v>286</v>
      </c>
      <c r="C27" s="15" t="s">
        <v>287</v>
      </c>
      <c r="D27" s="16" t="s">
        <v>46</v>
      </c>
      <c r="E27" s="17"/>
      <c r="F27" s="15"/>
    </row>
    <row r="28" customFormat="false" ht="15" hidden="false" customHeight="false" outlineLevel="0" collapsed="false">
      <c r="A28" s="14" t="s">
        <v>288</v>
      </c>
      <c r="B28" s="15" t="s">
        <v>162</v>
      </c>
      <c r="C28" s="15" t="s">
        <v>289</v>
      </c>
      <c r="D28" s="16" t="s">
        <v>46</v>
      </c>
      <c r="E28" s="17"/>
      <c r="F28" s="15"/>
    </row>
    <row r="29" customFormat="false" ht="15" hidden="false" customHeight="false" outlineLevel="0" collapsed="false">
      <c r="A29" s="14" t="s">
        <v>290</v>
      </c>
      <c r="B29" s="15" t="s">
        <v>165</v>
      </c>
      <c r="C29" s="15" t="s">
        <v>166</v>
      </c>
      <c r="D29" s="16" t="s">
        <v>84</v>
      </c>
      <c r="E29" s="17"/>
      <c r="F29" s="15"/>
    </row>
    <row r="30" customFormat="false" ht="15" hidden="false" customHeight="false" outlineLevel="0" collapsed="false">
      <c r="A30" s="14" t="s">
        <v>291</v>
      </c>
      <c r="B30" s="15" t="s">
        <v>168</v>
      </c>
      <c r="C30" s="15" t="s">
        <v>292</v>
      </c>
      <c r="D30" s="16" t="s">
        <v>46</v>
      </c>
      <c r="E30" s="17"/>
      <c r="F30" s="15"/>
    </row>
    <row r="32" customFormat="false" ht="18" hidden="false" customHeight="true" outlineLevel="0" collapsed="false">
      <c r="A32" s="12" t="s">
        <v>293</v>
      </c>
      <c r="B32" s="12"/>
      <c r="C32" s="12"/>
      <c r="D32" s="12"/>
      <c r="E32" s="12"/>
      <c r="F32" s="12"/>
    </row>
    <row r="33" customFormat="false" ht="15" hidden="false" customHeight="false" outlineLevel="0" collapsed="false">
      <c r="A33" s="13" t="s">
        <v>37</v>
      </c>
      <c r="B33" s="13" t="s">
        <v>38</v>
      </c>
      <c r="C33" s="13" t="s">
        <v>39</v>
      </c>
      <c r="D33" s="13" t="s">
        <v>40</v>
      </c>
      <c r="E33" s="13" t="s">
        <v>41</v>
      </c>
      <c r="F33" s="13" t="s">
        <v>42</v>
      </c>
    </row>
    <row r="34" customFormat="false" ht="15" hidden="false" customHeight="false" outlineLevel="0" collapsed="false">
      <c r="A34" s="14" t="s">
        <v>294</v>
      </c>
      <c r="B34" s="15" t="s">
        <v>295</v>
      </c>
      <c r="C34" s="15" t="s">
        <v>296</v>
      </c>
      <c r="D34" s="16" t="s">
        <v>46</v>
      </c>
      <c r="E34" s="17"/>
      <c r="F34" s="15"/>
    </row>
    <row r="35" customFormat="false" ht="15" hidden="false" customHeight="false" outlineLevel="0" collapsed="false">
      <c r="A35" s="14" t="s">
        <v>297</v>
      </c>
      <c r="B35" s="15" t="s">
        <v>298</v>
      </c>
      <c r="C35" s="15" t="s">
        <v>243</v>
      </c>
      <c r="D35" s="16" t="s">
        <v>46</v>
      </c>
      <c r="E35" s="17"/>
      <c r="F35" s="15"/>
    </row>
    <row r="36" customFormat="false" ht="15" hidden="false" customHeight="false" outlineLevel="0" collapsed="false">
      <c r="A36" s="14" t="s">
        <v>299</v>
      </c>
      <c r="B36" s="15" t="s">
        <v>300</v>
      </c>
      <c r="C36" s="15" t="s">
        <v>246</v>
      </c>
      <c r="D36" s="16" t="s">
        <v>46</v>
      </c>
      <c r="E36" s="17"/>
      <c r="F36" s="15"/>
    </row>
    <row r="38" customFormat="false" ht="18" hidden="false" customHeight="true" outlineLevel="0" collapsed="false">
      <c r="A38" s="12" t="s">
        <v>301</v>
      </c>
      <c r="B38" s="12"/>
      <c r="C38" s="12"/>
      <c r="D38" s="12"/>
      <c r="E38" s="12"/>
      <c r="F38" s="12"/>
    </row>
    <row r="39" customFormat="false" ht="15" hidden="false" customHeight="false" outlineLevel="0" collapsed="false">
      <c r="A39" s="13" t="s">
        <v>37</v>
      </c>
      <c r="B39" s="13" t="s">
        <v>38</v>
      </c>
      <c r="C39" s="13" t="s">
        <v>39</v>
      </c>
      <c r="D39" s="13" t="s">
        <v>40</v>
      </c>
      <c r="E39" s="13" t="s">
        <v>41</v>
      </c>
      <c r="F39" s="13" t="s">
        <v>42</v>
      </c>
    </row>
    <row r="40" customFormat="false" ht="15" hidden="false" customHeight="false" outlineLevel="0" collapsed="false">
      <c r="A40" s="14" t="s">
        <v>302</v>
      </c>
      <c r="B40" s="15" t="s">
        <v>188</v>
      </c>
      <c r="C40" s="15" t="s">
        <v>303</v>
      </c>
      <c r="D40" s="16" t="s">
        <v>116</v>
      </c>
      <c r="E40" s="17"/>
      <c r="F40" s="15"/>
    </row>
    <row r="41" customFormat="false" ht="15" hidden="false" customHeight="false" outlineLevel="0" collapsed="false">
      <c r="A41" s="14" t="s">
        <v>304</v>
      </c>
      <c r="B41" s="15" t="s">
        <v>305</v>
      </c>
      <c r="C41" s="15" t="s">
        <v>306</v>
      </c>
      <c r="D41" s="16" t="s">
        <v>116</v>
      </c>
      <c r="E41" s="17"/>
      <c r="F41" s="15"/>
    </row>
    <row r="42" customFormat="false" ht="15" hidden="false" customHeight="false" outlineLevel="0" collapsed="false">
      <c r="A42" s="14" t="s">
        <v>307</v>
      </c>
      <c r="B42" s="15" t="s">
        <v>191</v>
      </c>
      <c r="C42" s="15" t="s">
        <v>192</v>
      </c>
      <c r="D42" s="16" t="s">
        <v>123</v>
      </c>
      <c r="E42" s="17"/>
      <c r="F42" s="15"/>
    </row>
    <row r="43" customFormat="false" ht="22.35" hidden="false" customHeight="false" outlineLevel="0" collapsed="false">
      <c r="A43" s="14" t="s">
        <v>308</v>
      </c>
      <c r="B43" s="15" t="s">
        <v>309</v>
      </c>
      <c r="C43" s="15" t="s">
        <v>310</v>
      </c>
      <c r="D43" s="16" t="s">
        <v>46</v>
      </c>
      <c r="E43" s="17"/>
      <c r="F43" s="15"/>
    </row>
    <row r="44" customFormat="false" ht="15" hidden="false" customHeight="false" outlineLevel="0" collapsed="false">
      <c r="A44" s="14" t="s">
        <v>311</v>
      </c>
      <c r="B44" s="15" t="s">
        <v>312</v>
      </c>
      <c r="C44" s="15" t="s">
        <v>313</v>
      </c>
      <c r="D44" s="16" t="s">
        <v>46</v>
      </c>
      <c r="E44" s="17"/>
      <c r="F44" s="15"/>
    </row>
    <row r="45" customFormat="false" ht="15" hidden="false" customHeight="false" outlineLevel="0" collapsed="false">
      <c r="A45" s="14" t="s">
        <v>314</v>
      </c>
      <c r="B45" s="15" t="s">
        <v>197</v>
      </c>
      <c r="C45" s="15" t="s">
        <v>315</v>
      </c>
      <c r="D45" s="16" t="s">
        <v>46</v>
      </c>
      <c r="E45" s="17"/>
      <c r="F45" s="15"/>
    </row>
    <row r="46" customFormat="false" ht="22.35" hidden="false" customHeight="false" outlineLevel="0" collapsed="false">
      <c r="A46" s="14" t="s">
        <v>316</v>
      </c>
      <c r="B46" s="15" t="s">
        <v>317</v>
      </c>
      <c r="C46" s="15" t="s">
        <v>318</v>
      </c>
      <c r="D46" s="16" t="s">
        <v>116</v>
      </c>
      <c r="E46" s="17"/>
      <c r="F46" s="15"/>
    </row>
    <row r="47" customFormat="false" ht="22.35" hidden="false" customHeight="false" outlineLevel="0" collapsed="false">
      <c r="A47" s="14" t="s">
        <v>319</v>
      </c>
      <c r="B47" s="15" t="s">
        <v>320</v>
      </c>
      <c r="C47" s="15" t="s">
        <v>321</v>
      </c>
      <c r="D47" s="16" t="s">
        <v>46</v>
      </c>
      <c r="E47" s="17"/>
      <c r="F47" s="15"/>
    </row>
    <row r="49" customFormat="false" ht="18" hidden="false" customHeight="true" outlineLevel="0" collapsed="false">
      <c r="A49" s="12" t="s">
        <v>322</v>
      </c>
      <c r="B49" s="12"/>
      <c r="C49" s="12"/>
      <c r="D49" s="12"/>
      <c r="E49" s="12"/>
      <c r="F49" s="12"/>
    </row>
    <row r="50" customFormat="false" ht="15" hidden="false" customHeight="false" outlineLevel="0" collapsed="false">
      <c r="A50" s="13" t="s">
        <v>37</v>
      </c>
      <c r="B50" s="13" t="s">
        <v>38</v>
      </c>
      <c r="C50" s="13" t="s">
        <v>39</v>
      </c>
      <c r="D50" s="13" t="s">
        <v>40</v>
      </c>
      <c r="E50" s="13" t="s">
        <v>41</v>
      </c>
      <c r="F50" s="13" t="s">
        <v>42</v>
      </c>
    </row>
    <row r="51" customFormat="false" ht="15" hidden="false" customHeight="false" outlineLevel="0" collapsed="false">
      <c r="A51" s="14" t="s">
        <v>323</v>
      </c>
      <c r="B51" s="15" t="s">
        <v>324</v>
      </c>
      <c r="C51" s="15" t="s">
        <v>325</v>
      </c>
      <c r="D51" s="16" t="s">
        <v>46</v>
      </c>
      <c r="E51" s="17"/>
      <c r="F51" s="15"/>
    </row>
    <row r="52" customFormat="false" ht="15" hidden="false" customHeight="false" outlineLevel="0" collapsed="false">
      <c r="A52" s="14" t="s">
        <v>326</v>
      </c>
      <c r="B52" s="15" t="s">
        <v>327</v>
      </c>
      <c r="C52" s="15" t="s">
        <v>328</v>
      </c>
      <c r="D52" s="16" t="s">
        <v>46</v>
      </c>
      <c r="E52" s="17"/>
      <c r="F52" s="15"/>
    </row>
    <row r="53" customFormat="false" ht="22.35" hidden="false" customHeight="false" outlineLevel="0" collapsed="false">
      <c r="A53" s="14" t="s">
        <v>329</v>
      </c>
      <c r="B53" s="15" t="s">
        <v>330</v>
      </c>
      <c r="C53" s="15" t="s">
        <v>331</v>
      </c>
      <c r="D53" s="16" t="s">
        <v>46</v>
      </c>
      <c r="E53" s="17"/>
      <c r="F53" s="15"/>
    </row>
    <row r="54" customFormat="false" ht="15" hidden="false" customHeight="false" outlineLevel="0" collapsed="false">
      <c r="A54" s="14" t="s">
        <v>332</v>
      </c>
      <c r="B54" s="15" t="s">
        <v>333</v>
      </c>
      <c r="C54" s="15" t="s">
        <v>334</v>
      </c>
      <c r="D54" s="16" t="s">
        <v>46</v>
      </c>
      <c r="E54" s="17"/>
      <c r="F54" s="15"/>
    </row>
    <row r="55" customFormat="false" ht="22.35" hidden="false" customHeight="false" outlineLevel="0" collapsed="false">
      <c r="A55" s="14" t="s">
        <v>335</v>
      </c>
      <c r="B55" s="15" t="s">
        <v>336</v>
      </c>
      <c r="C55" s="15" t="s">
        <v>337</v>
      </c>
      <c r="D55" s="16" t="s">
        <v>46</v>
      </c>
      <c r="E55" s="17"/>
      <c r="F55" s="15"/>
    </row>
    <row r="56" customFormat="false" ht="15" hidden="false" customHeight="false" outlineLevel="0" collapsed="false">
      <c r="A56" s="14" t="s">
        <v>338</v>
      </c>
      <c r="B56" s="15" t="s">
        <v>339</v>
      </c>
      <c r="C56" s="15" t="s">
        <v>340</v>
      </c>
      <c r="D56" s="16" t="s">
        <v>341</v>
      </c>
      <c r="E56" s="17"/>
      <c r="F56" s="15"/>
    </row>
    <row r="57" customFormat="false" ht="15" hidden="false" customHeight="false" outlineLevel="0" collapsed="false">
      <c r="A57" s="14" t="s">
        <v>342</v>
      </c>
      <c r="B57" s="15" t="s">
        <v>343</v>
      </c>
      <c r="C57" s="15" t="s">
        <v>344</v>
      </c>
      <c r="D57" s="16" t="s">
        <v>341</v>
      </c>
      <c r="E57" s="17"/>
      <c r="F57" s="15"/>
    </row>
  </sheetData>
  <mergeCells count="10">
    <mergeCell ref="A1:F1"/>
    <mergeCell ref="A2:F2"/>
    <mergeCell ref="A3:F3"/>
    <mergeCell ref="A4:F4"/>
    <mergeCell ref="A6:F6"/>
    <mergeCell ref="A14:F14"/>
    <mergeCell ref="A24:F24"/>
    <mergeCell ref="A32:F32"/>
    <mergeCell ref="A38:F38"/>
    <mergeCell ref="A49:F49"/>
  </mergeCells>
  <conditionalFormatting sqref="E16:E57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dataValidations count="1">
    <dataValidation allowBlank="true" error="Choose Pass, Fail, or N/A" errorStyle="stop" errorTitle="Invalid" operator="between" prompt="Pass / Fail / N/A" promptTitle="Result" showDropDown="false" showErrorMessage="false" showInputMessage="false" sqref="E16:E22 E26:E30 E34:E36 E40:E47 E51:E57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5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34"/>
  </cols>
  <sheetData>
    <row r="1" customFormat="false" ht="24" hidden="false" customHeight="true" outlineLevel="0" collapsed="false">
      <c r="A1" s="6" t="s">
        <v>345</v>
      </c>
      <c r="B1" s="6"/>
      <c r="C1" s="6"/>
      <c r="D1" s="6"/>
      <c r="E1" s="6"/>
      <c r="F1" s="6"/>
    </row>
    <row r="2" customFormat="false" ht="57.75" hidden="false" customHeight="true" outlineLevel="0" collapsed="false">
      <c r="A2" s="7" t="s">
        <v>346</v>
      </c>
      <c r="B2" s="7"/>
      <c r="C2" s="7"/>
      <c r="D2" s="7"/>
      <c r="E2" s="7"/>
      <c r="F2" s="7"/>
    </row>
    <row r="3" customFormat="false" ht="43.5" hidden="false" customHeight="true" outlineLevel="0" collapsed="false">
      <c r="A3" s="8" t="s">
        <v>15</v>
      </c>
      <c r="B3" s="8"/>
      <c r="C3" s="8"/>
      <c r="D3" s="8"/>
      <c r="E3" s="8"/>
      <c r="F3" s="8"/>
    </row>
    <row r="4" customFormat="false" ht="19.5" hidden="false" customHeight="true" outlineLevel="0" collapsed="false">
      <c r="A4" s="9" t="str">
        <f aca="false">CONCATENATE("Checks: ",36,"   Pass: ",COUNTIF(E16:E65,"Pass"),"   Fail: ",COUNTIF(E16:E65,"Fail"),"   N/A: ",COUNTIF(E16:E65,"N/A"),"   Remaining: ",36-COUNTIF(E16:E65,"Pass")-COUNTIF(E16:E65,"Fail")-COUNTIF(E16:E65,"N/A"))</f>
        <v>Checks: 36   Pass: 0   Fail: 0   N/A: 0   Remaining: 36</v>
      </c>
      <c r="B4" s="9"/>
      <c r="C4" s="9"/>
      <c r="D4" s="9"/>
      <c r="E4" s="9"/>
      <c r="F4" s="9"/>
    </row>
    <row r="6" customFormat="false" ht="15" hidden="false" customHeight="true" outlineLevel="0" collapsed="false">
      <c r="A6" s="10" t="s">
        <v>16</v>
      </c>
      <c r="B6" s="10"/>
      <c r="C6" s="10"/>
      <c r="D6" s="10"/>
      <c r="E6" s="10"/>
      <c r="F6" s="10"/>
    </row>
    <row r="7" customFormat="false" ht="22.35" hidden="false" customHeight="false" outlineLevel="0" collapsed="false">
      <c r="A7" s="11" t="s">
        <v>17</v>
      </c>
      <c r="B7" s="11" t="s">
        <v>18</v>
      </c>
      <c r="C7" s="11" t="s">
        <v>19</v>
      </c>
      <c r="D7" s="11" t="s">
        <v>20</v>
      </c>
      <c r="E7" s="11"/>
      <c r="F7" s="11"/>
    </row>
    <row r="8" customFormat="false" ht="22.35" hidden="false" customHeight="false" outlineLevel="0" collapsed="false">
      <c r="A8" s="11" t="s">
        <v>21</v>
      </c>
      <c r="B8" s="11" t="s">
        <v>22</v>
      </c>
      <c r="C8" s="11" t="s">
        <v>23</v>
      </c>
      <c r="D8" s="11" t="s">
        <v>20</v>
      </c>
      <c r="E8" s="11"/>
      <c r="F8" s="11"/>
    </row>
    <row r="9" customFormat="false" ht="32.8" hidden="false" customHeight="false" outlineLevel="0" collapsed="false">
      <c r="A9" s="11" t="s">
        <v>24</v>
      </c>
      <c r="B9" s="11" t="s">
        <v>25</v>
      </c>
      <c r="C9" s="11" t="s">
        <v>26</v>
      </c>
      <c r="D9" s="11" t="s">
        <v>20</v>
      </c>
      <c r="E9" s="11"/>
      <c r="F9" s="11"/>
    </row>
    <row r="10" customFormat="false" ht="22.35" hidden="false" customHeight="false" outlineLevel="0" collapsed="false">
      <c r="A10" s="11" t="s">
        <v>27</v>
      </c>
      <c r="B10" s="11" t="s">
        <v>28</v>
      </c>
      <c r="C10" s="11" t="s">
        <v>29</v>
      </c>
      <c r="D10" s="11" t="s">
        <v>20</v>
      </c>
      <c r="E10" s="11"/>
      <c r="F10" s="11"/>
    </row>
    <row r="11" customFormat="false" ht="22.35" hidden="false" customHeight="false" outlineLevel="0" collapsed="false">
      <c r="A11" s="11" t="s">
        <v>30</v>
      </c>
      <c r="B11" s="11" t="s">
        <v>31</v>
      </c>
      <c r="C11" s="11" t="s">
        <v>32</v>
      </c>
      <c r="D11" s="11" t="s">
        <v>20</v>
      </c>
      <c r="E11" s="11"/>
      <c r="F11" s="11"/>
    </row>
    <row r="12" customFormat="false" ht="22.35" hidden="false" customHeight="false" outlineLevel="0" collapsed="false">
      <c r="A12" s="11" t="s">
        <v>33</v>
      </c>
      <c r="B12" s="11" t="s">
        <v>34</v>
      </c>
      <c r="C12" s="11" t="s">
        <v>35</v>
      </c>
      <c r="D12" s="11" t="s">
        <v>20</v>
      </c>
      <c r="E12" s="11"/>
      <c r="F12" s="11"/>
    </row>
    <row r="14" customFormat="false" ht="18" hidden="false" customHeight="true" outlineLevel="0" collapsed="false">
      <c r="A14" s="12" t="s">
        <v>347</v>
      </c>
      <c r="B14" s="12"/>
      <c r="C14" s="12"/>
      <c r="D14" s="12"/>
      <c r="E14" s="12"/>
      <c r="F14" s="12"/>
    </row>
    <row r="15" customFormat="false" ht="15" hidden="false" customHeight="false" outlineLevel="0" collapsed="false">
      <c r="A15" s="13" t="s">
        <v>37</v>
      </c>
      <c r="B15" s="13" t="s">
        <v>38</v>
      </c>
      <c r="C15" s="13" t="s">
        <v>39</v>
      </c>
      <c r="D15" s="13" t="s">
        <v>40</v>
      </c>
      <c r="E15" s="13" t="s">
        <v>41</v>
      </c>
      <c r="F15" s="13" t="s">
        <v>42</v>
      </c>
    </row>
    <row r="16" customFormat="false" ht="32.8" hidden="false" customHeight="false" outlineLevel="0" collapsed="false">
      <c r="A16" s="14" t="s">
        <v>348</v>
      </c>
      <c r="B16" s="15" t="s">
        <v>349</v>
      </c>
      <c r="C16" s="15" t="s">
        <v>350</v>
      </c>
      <c r="D16" s="16" t="s">
        <v>46</v>
      </c>
      <c r="E16" s="17"/>
      <c r="F16" s="15"/>
    </row>
    <row r="17" customFormat="false" ht="22.35" hidden="false" customHeight="false" outlineLevel="0" collapsed="false">
      <c r="A17" s="14" t="s">
        <v>351</v>
      </c>
      <c r="B17" s="15" t="s">
        <v>352</v>
      </c>
      <c r="C17" s="15" t="s">
        <v>353</v>
      </c>
      <c r="D17" s="16" t="s">
        <v>46</v>
      </c>
      <c r="E17" s="17"/>
      <c r="F17" s="15"/>
    </row>
    <row r="18" customFormat="false" ht="22.35" hidden="false" customHeight="false" outlineLevel="0" collapsed="false">
      <c r="A18" s="14" t="s">
        <v>354</v>
      </c>
      <c r="B18" s="15" t="s">
        <v>355</v>
      </c>
      <c r="C18" s="15" t="s">
        <v>356</v>
      </c>
      <c r="D18" s="16" t="s">
        <v>46</v>
      </c>
      <c r="E18" s="17"/>
      <c r="F18" s="15"/>
    </row>
    <row r="19" customFormat="false" ht="22.35" hidden="false" customHeight="false" outlineLevel="0" collapsed="false">
      <c r="A19" s="14" t="s">
        <v>357</v>
      </c>
      <c r="B19" s="15" t="s">
        <v>358</v>
      </c>
      <c r="C19" s="15" t="s">
        <v>359</v>
      </c>
      <c r="D19" s="16" t="s">
        <v>46</v>
      </c>
      <c r="E19" s="17"/>
      <c r="F19" s="15"/>
    </row>
    <row r="20" customFormat="false" ht="22.35" hidden="false" customHeight="false" outlineLevel="0" collapsed="false">
      <c r="A20" s="14" t="s">
        <v>360</v>
      </c>
      <c r="B20" s="15" t="s">
        <v>361</v>
      </c>
      <c r="C20" s="15" t="s">
        <v>362</v>
      </c>
      <c r="D20" s="16" t="s">
        <v>46</v>
      </c>
      <c r="E20" s="17"/>
      <c r="F20" s="15"/>
    </row>
    <row r="21" customFormat="false" ht="15" hidden="false" customHeight="false" outlineLevel="0" collapsed="false">
      <c r="A21" s="14" t="s">
        <v>363</v>
      </c>
      <c r="B21" s="15" t="s">
        <v>364</v>
      </c>
      <c r="C21" s="15" t="s">
        <v>365</v>
      </c>
      <c r="D21" s="16" t="s">
        <v>46</v>
      </c>
      <c r="E21" s="17"/>
      <c r="F21" s="15"/>
    </row>
    <row r="22" customFormat="false" ht="15" hidden="false" customHeight="false" outlineLevel="0" collapsed="false">
      <c r="A22" s="14" t="s">
        <v>366</v>
      </c>
      <c r="B22" s="15" t="s">
        <v>367</v>
      </c>
      <c r="C22" s="15" t="s">
        <v>368</v>
      </c>
      <c r="D22" s="16" t="s">
        <v>46</v>
      </c>
      <c r="E22" s="17"/>
      <c r="F22" s="15"/>
    </row>
    <row r="23" customFormat="false" ht="15" hidden="false" customHeight="false" outlineLevel="0" collapsed="false">
      <c r="A23" s="14" t="s">
        <v>369</v>
      </c>
      <c r="B23" s="15" t="s">
        <v>370</v>
      </c>
      <c r="C23" s="15" t="s">
        <v>371</v>
      </c>
      <c r="D23" s="16" t="s">
        <v>46</v>
      </c>
      <c r="E23" s="17"/>
      <c r="F23" s="15"/>
    </row>
    <row r="25" customFormat="false" ht="18" hidden="false" customHeight="true" outlineLevel="0" collapsed="false">
      <c r="A25" s="12" t="s">
        <v>372</v>
      </c>
      <c r="B25" s="12"/>
      <c r="C25" s="12"/>
      <c r="D25" s="12"/>
      <c r="E25" s="12"/>
      <c r="F25" s="12"/>
    </row>
    <row r="26" customFormat="false" ht="15" hidden="false" customHeight="false" outlineLevel="0" collapsed="false">
      <c r="A26" s="13" t="s">
        <v>37</v>
      </c>
      <c r="B26" s="13" t="s">
        <v>38</v>
      </c>
      <c r="C26" s="13" t="s">
        <v>39</v>
      </c>
      <c r="D26" s="13" t="s">
        <v>40</v>
      </c>
      <c r="E26" s="13" t="s">
        <v>41</v>
      </c>
      <c r="F26" s="13" t="s">
        <v>42</v>
      </c>
    </row>
    <row r="27" customFormat="false" ht="22.35" hidden="false" customHeight="false" outlineLevel="0" collapsed="false">
      <c r="A27" s="14" t="s">
        <v>373</v>
      </c>
      <c r="B27" s="15" t="s">
        <v>374</v>
      </c>
      <c r="C27" s="15" t="s">
        <v>375</v>
      </c>
      <c r="D27" s="16" t="s">
        <v>46</v>
      </c>
      <c r="E27" s="17"/>
      <c r="F27" s="15"/>
    </row>
    <row r="28" customFormat="false" ht="22.35" hidden="false" customHeight="false" outlineLevel="0" collapsed="false">
      <c r="A28" s="14" t="s">
        <v>376</v>
      </c>
      <c r="B28" s="15" t="s">
        <v>377</v>
      </c>
      <c r="C28" s="15" t="s">
        <v>378</v>
      </c>
      <c r="D28" s="16" t="s">
        <v>46</v>
      </c>
      <c r="E28" s="17"/>
      <c r="F28" s="15"/>
    </row>
    <row r="29" customFormat="false" ht="15" hidden="false" customHeight="false" outlineLevel="0" collapsed="false">
      <c r="A29" s="14" t="s">
        <v>379</v>
      </c>
      <c r="B29" s="15" t="s">
        <v>380</v>
      </c>
      <c r="C29" s="15" t="s">
        <v>381</v>
      </c>
      <c r="D29" s="16" t="s">
        <v>46</v>
      </c>
      <c r="E29" s="17"/>
      <c r="F29" s="15"/>
    </row>
    <row r="30" customFormat="false" ht="15" hidden="false" customHeight="false" outlineLevel="0" collapsed="false">
      <c r="A30" s="14" t="s">
        <v>382</v>
      </c>
      <c r="B30" s="15" t="s">
        <v>76</v>
      </c>
      <c r="C30" s="15" t="s">
        <v>383</v>
      </c>
      <c r="D30" s="16" t="s">
        <v>46</v>
      </c>
      <c r="E30" s="17"/>
      <c r="F30" s="15"/>
    </row>
    <row r="31" customFormat="false" ht="22.35" hidden="false" customHeight="false" outlineLevel="0" collapsed="false">
      <c r="A31" s="14" t="s">
        <v>384</v>
      </c>
      <c r="B31" s="15" t="s">
        <v>162</v>
      </c>
      <c r="C31" s="15" t="s">
        <v>385</v>
      </c>
      <c r="D31" s="16" t="s">
        <v>46</v>
      </c>
      <c r="E31" s="17"/>
      <c r="F31" s="15"/>
    </row>
    <row r="32" customFormat="false" ht="15" hidden="false" customHeight="false" outlineLevel="0" collapsed="false">
      <c r="A32" s="14" t="s">
        <v>386</v>
      </c>
      <c r="B32" s="15" t="s">
        <v>165</v>
      </c>
      <c r="C32" s="15" t="s">
        <v>387</v>
      </c>
      <c r="D32" s="16" t="s">
        <v>84</v>
      </c>
      <c r="E32" s="17"/>
      <c r="F32" s="15"/>
    </row>
    <row r="33" customFormat="false" ht="22.35" hidden="false" customHeight="false" outlineLevel="0" collapsed="false">
      <c r="A33" s="14" t="s">
        <v>388</v>
      </c>
      <c r="B33" s="15" t="s">
        <v>389</v>
      </c>
      <c r="C33" s="15" t="s">
        <v>390</v>
      </c>
      <c r="D33" s="16" t="s">
        <v>46</v>
      </c>
      <c r="E33" s="17"/>
      <c r="F33" s="15"/>
    </row>
    <row r="34" customFormat="false" ht="22.35" hidden="false" customHeight="false" outlineLevel="0" collapsed="false">
      <c r="A34" s="14" t="s">
        <v>391</v>
      </c>
      <c r="B34" s="15" t="s">
        <v>168</v>
      </c>
      <c r="C34" s="15" t="s">
        <v>392</v>
      </c>
      <c r="D34" s="16" t="s">
        <v>46</v>
      </c>
      <c r="E34" s="17"/>
      <c r="F34" s="15"/>
    </row>
    <row r="35" customFormat="false" ht="15" hidden="false" customHeight="false" outlineLevel="0" collapsed="false">
      <c r="A35" s="14" t="s">
        <v>393</v>
      </c>
      <c r="B35" s="15" t="s">
        <v>394</v>
      </c>
      <c r="C35" s="15" t="s">
        <v>172</v>
      </c>
      <c r="D35" s="16" t="s">
        <v>46</v>
      </c>
      <c r="E35" s="17"/>
      <c r="F35" s="15"/>
    </row>
    <row r="37" customFormat="false" ht="18" hidden="false" customHeight="true" outlineLevel="0" collapsed="false">
      <c r="A37" s="12" t="s">
        <v>395</v>
      </c>
      <c r="B37" s="12"/>
      <c r="C37" s="12"/>
      <c r="D37" s="12"/>
      <c r="E37" s="12"/>
      <c r="F37" s="12"/>
    </row>
    <row r="38" customFormat="false" ht="39.75" hidden="false" customHeight="true" outlineLevel="0" collapsed="false">
      <c r="A38" s="18" t="s">
        <v>396</v>
      </c>
      <c r="B38" s="18"/>
      <c r="C38" s="18"/>
      <c r="D38" s="18"/>
      <c r="E38" s="18"/>
      <c r="F38" s="18"/>
    </row>
    <row r="39" customFormat="false" ht="15" hidden="false" customHeight="false" outlineLevel="0" collapsed="false">
      <c r="A39" s="13" t="s">
        <v>37</v>
      </c>
      <c r="B39" s="13" t="s">
        <v>38</v>
      </c>
      <c r="C39" s="13" t="s">
        <v>39</v>
      </c>
      <c r="D39" s="13" t="s">
        <v>40</v>
      </c>
      <c r="E39" s="13" t="s">
        <v>41</v>
      </c>
      <c r="F39" s="13" t="s">
        <v>42</v>
      </c>
    </row>
    <row r="40" customFormat="false" ht="22.35" hidden="false" customHeight="false" outlineLevel="0" collapsed="false">
      <c r="A40" s="14" t="s">
        <v>397</v>
      </c>
      <c r="B40" s="15" t="s">
        <v>398</v>
      </c>
      <c r="C40" s="15" t="s">
        <v>399</v>
      </c>
      <c r="D40" s="16" t="s">
        <v>46</v>
      </c>
      <c r="E40" s="17"/>
      <c r="F40" s="15"/>
    </row>
    <row r="41" customFormat="false" ht="15" hidden="false" customHeight="false" outlineLevel="0" collapsed="false">
      <c r="A41" s="14" t="s">
        <v>400</v>
      </c>
      <c r="B41" s="15" t="s">
        <v>401</v>
      </c>
      <c r="C41" s="15" t="s">
        <v>402</v>
      </c>
      <c r="D41" s="16" t="s">
        <v>46</v>
      </c>
      <c r="E41" s="17"/>
      <c r="F41" s="15"/>
    </row>
    <row r="42" customFormat="false" ht="22.35" hidden="false" customHeight="false" outlineLevel="0" collapsed="false">
      <c r="A42" s="14" t="s">
        <v>403</v>
      </c>
      <c r="B42" s="15" t="s">
        <v>96</v>
      </c>
      <c r="C42" s="15" t="s">
        <v>404</v>
      </c>
      <c r="D42" s="16" t="s">
        <v>46</v>
      </c>
      <c r="E42" s="17"/>
      <c r="F42" s="15"/>
    </row>
    <row r="43" customFormat="false" ht="22.35" hidden="false" customHeight="false" outlineLevel="0" collapsed="false">
      <c r="A43" s="14" t="s">
        <v>405</v>
      </c>
      <c r="B43" s="15" t="s">
        <v>406</v>
      </c>
      <c r="C43" s="15" t="s">
        <v>407</v>
      </c>
      <c r="D43" s="16" t="s">
        <v>46</v>
      </c>
      <c r="E43" s="17"/>
      <c r="F43" s="15"/>
    </row>
    <row r="44" customFormat="false" ht="22.35" hidden="false" customHeight="false" outlineLevel="0" collapsed="false">
      <c r="A44" s="14" t="s">
        <v>408</v>
      </c>
      <c r="B44" s="15" t="s">
        <v>409</v>
      </c>
      <c r="C44" s="15" t="s">
        <v>410</v>
      </c>
      <c r="D44" s="16" t="s">
        <v>46</v>
      </c>
      <c r="E44" s="17"/>
      <c r="F44" s="15"/>
    </row>
    <row r="45" customFormat="false" ht="15" hidden="false" customHeight="false" outlineLevel="0" collapsed="false">
      <c r="A45" s="14" t="s">
        <v>411</v>
      </c>
      <c r="B45" s="15" t="s">
        <v>107</v>
      </c>
      <c r="C45" s="15" t="s">
        <v>108</v>
      </c>
      <c r="D45" s="16" t="s">
        <v>46</v>
      </c>
      <c r="E45" s="17"/>
      <c r="F45" s="15"/>
    </row>
    <row r="46" customFormat="false" ht="15" hidden="false" customHeight="false" outlineLevel="0" collapsed="false">
      <c r="A46" s="14" t="s">
        <v>412</v>
      </c>
      <c r="B46" s="15" t="s">
        <v>413</v>
      </c>
      <c r="C46" s="15" t="s">
        <v>100</v>
      </c>
      <c r="D46" s="16" t="s">
        <v>46</v>
      </c>
      <c r="E46" s="17"/>
      <c r="F46" s="15"/>
    </row>
    <row r="48" customFormat="false" ht="18" hidden="false" customHeight="true" outlineLevel="0" collapsed="false">
      <c r="A48" s="12" t="s">
        <v>414</v>
      </c>
      <c r="B48" s="12"/>
      <c r="C48" s="12"/>
      <c r="D48" s="12"/>
      <c r="E48" s="12"/>
      <c r="F48" s="12"/>
    </row>
    <row r="49" customFormat="false" ht="15" hidden="false" customHeight="false" outlineLevel="0" collapsed="false">
      <c r="A49" s="13" t="s">
        <v>37</v>
      </c>
      <c r="B49" s="13" t="s">
        <v>38</v>
      </c>
      <c r="C49" s="13" t="s">
        <v>39</v>
      </c>
      <c r="D49" s="13" t="s">
        <v>40</v>
      </c>
      <c r="E49" s="13" t="s">
        <v>41</v>
      </c>
      <c r="F49" s="13" t="s">
        <v>42</v>
      </c>
    </row>
    <row r="50" customFormat="false" ht="22.35" hidden="false" customHeight="false" outlineLevel="0" collapsed="false">
      <c r="A50" s="14" t="s">
        <v>415</v>
      </c>
      <c r="B50" s="15" t="s">
        <v>188</v>
      </c>
      <c r="C50" s="15" t="s">
        <v>416</v>
      </c>
      <c r="D50" s="16" t="s">
        <v>116</v>
      </c>
      <c r="E50" s="17"/>
      <c r="F50" s="15"/>
    </row>
    <row r="51" customFormat="false" ht="22.35" hidden="false" customHeight="false" outlineLevel="0" collapsed="false">
      <c r="A51" s="14" t="s">
        <v>417</v>
      </c>
      <c r="B51" s="15" t="s">
        <v>305</v>
      </c>
      <c r="C51" s="15" t="s">
        <v>418</v>
      </c>
      <c r="D51" s="16" t="s">
        <v>116</v>
      </c>
      <c r="E51" s="17"/>
      <c r="F51" s="15"/>
    </row>
    <row r="52" customFormat="false" ht="15" hidden="false" customHeight="false" outlineLevel="0" collapsed="false">
      <c r="A52" s="14" t="s">
        <v>419</v>
      </c>
      <c r="B52" s="15" t="s">
        <v>191</v>
      </c>
      <c r="C52" s="15" t="s">
        <v>192</v>
      </c>
      <c r="D52" s="16" t="s">
        <v>123</v>
      </c>
      <c r="E52" s="17"/>
      <c r="F52" s="15"/>
    </row>
    <row r="53" customFormat="false" ht="32.8" hidden="false" customHeight="false" outlineLevel="0" collapsed="false">
      <c r="A53" s="14" t="s">
        <v>420</v>
      </c>
      <c r="B53" s="15" t="s">
        <v>309</v>
      </c>
      <c r="C53" s="15" t="s">
        <v>421</v>
      </c>
      <c r="D53" s="16" t="s">
        <v>46</v>
      </c>
      <c r="E53" s="17"/>
      <c r="F53" s="15"/>
    </row>
    <row r="54" customFormat="false" ht="22.35" hidden="false" customHeight="false" outlineLevel="0" collapsed="false">
      <c r="A54" s="14" t="s">
        <v>422</v>
      </c>
      <c r="B54" s="15" t="s">
        <v>312</v>
      </c>
      <c r="C54" s="15" t="s">
        <v>423</v>
      </c>
      <c r="D54" s="16" t="s">
        <v>46</v>
      </c>
      <c r="E54" s="17"/>
      <c r="F54" s="15"/>
    </row>
    <row r="55" customFormat="false" ht="22.35" hidden="false" customHeight="false" outlineLevel="0" collapsed="false">
      <c r="A55" s="14" t="s">
        <v>424</v>
      </c>
      <c r="B55" s="15" t="s">
        <v>197</v>
      </c>
      <c r="C55" s="15" t="s">
        <v>425</v>
      </c>
      <c r="D55" s="16" t="s">
        <v>46</v>
      </c>
      <c r="E55" s="17"/>
      <c r="F55" s="15"/>
    </row>
    <row r="56" customFormat="false" ht="15" hidden="false" customHeight="false" outlineLevel="0" collapsed="false">
      <c r="A56" s="14" t="s">
        <v>426</v>
      </c>
      <c r="B56" s="15" t="s">
        <v>317</v>
      </c>
      <c r="C56" s="15" t="s">
        <v>427</v>
      </c>
      <c r="D56" s="16" t="s">
        <v>116</v>
      </c>
      <c r="E56" s="17"/>
      <c r="F56" s="15"/>
    </row>
    <row r="57" customFormat="false" ht="15" hidden="false" customHeight="false" outlineLevel="0" collapsed="false">
      <c r="A57" s="14" t="s">
        <v>428</v>
      </c>
      <c r="B57" s="15" t="s">
        <v>429</v>
      </c>
      <c r="C57" s="15" t="s">
        <v>430</v>
      </c>
      <c r="D57" s="16" t="s">
        <v>46</v>
      </c>
      <c r="E57" s="17"/>
      <c r="F57" s="15"/>
    </row>
    <row r="59" customFormat="false" ht="18" hidden="false" customHeight="true" outlineLevel="0" collapsed="false">
      <c r="A59" s="12" t="s">
        <v>431</v>
      </c>
      <c r="B59" s="12"/>
      <c r="C59" s="12"/>
      <c r="D59" s="12"/>
      <c r="E59" s="12"/>
      <c r="F59" s="12"/>
    </row>
    <row r="60" customFormat="false" ht="39.75" hidden="false" customHeight="true" outlineLevel="0" collapsed="false">
      <c r="A60" s="18" t="s">
        <v>432</v>
      </c>
      <c r="B60" s="18"/>
      <c r="C60" s="18"/>
      <c r="D60" s="18"/>
      <c r="E60" s="18"/>
      <c r="F60" s="18"/>
    </row>
    <row r="61" customFormat="false" ht="15" hidden="false" customHeight="false" outlineLevel="0" collapsed="false">
      <c r="A61" s="13" t="s">
        <v>37</v>
      </c>
      <c r="B61" s="13" t="s">
        <v>38</v>
      </c>
      <c r="C61" s="13" t="s">
        <v>39</v>
      </c>
      <c r="D61" s="13" t="s">
        <v>40</v>
      </c>
      <c r="E61" s="13" t="s">
        <v>41</v>
      </c>
      <c r="F61" s="13" t="s">
        <v>42</v>
      </c>
    </row>
    <row r="62" customFormat="false" ht="15" hidden="false" customHeight="false" outlineLevel="0" collapsed="false">
      <c r="A62" s="14" t="s">
        <v>433</v>
      </c>
      <c r="B62" s="15" t="s">
        <v>434</v>
      </c>
      <c r="C62" s="15" t="s">
        <v>435</v>
      </c>
      <c r="D62" s="16" t="s">
        <v>46</v>
      </c>
      <c r="E62" s="17"/>
      <c r="F62" s="15"/>
    </row>
    <row r="63" customFormat="false" ht="15" hidden="false" customHeight="false" outlineLevel="0" collapsed="false">
      <c r="A63" s="14" t="s">
        <v>436</v>
      </c>
      <c r="B63" s="15" t="s">
        <v>437</v>
      </c>
      <c r="C63" s="15" t="s">
        <v>438</v>
      </c>
      <c r="D63" s="16" t="s">
        <v>46</v>
      </c>
      <c r="E63" s="17"/>
      <c r="F63" s="15"/>
    </row>
    <row r="64" customFormat="false" ht="22.35" hidden="false" customHeight="false" outlineLevel="0" collapsed="false">
      <c r="A64" s="14" t="s">
        <v>439</v>
      </c>
      <c r="B64" s="15" t="s">
        <v>440</v>
      </c>
      <c r="C64" s="15" t="s">
        <v>441</v>
      </c>
      <c r="D64" s="16" t="s">
        <v>46</v>
      </c>
      <c r="E64" s="17"/>
      <c r="F64" s="15"/>
    </row>
    <row r="65" customFormat="false" ht="15" hidden="false" customHeight="false" outlineLevel="0" collapsed="false">
      <c r="A65" s="14" t="s">
        <v>442</v>
      </c>
      <c r="B65" s="15" t="s">
        <v>443</v>
      </c>
      <c r="C65" s="15" t="s">
        <v>444</v>
      </c>
      <c r="D65" s="16" t="s">
        <v>341</v>
      </c>
      <c r="E65" s="17"/>
      <c r="F65" s="15"/>
    </row>
  </sheetData>
  <mergeCells count="12">
    <mergeCell ref="A1:F1"/>
    <mergeCell ref="A2:F2"/>
    <mergeCell ref="A3:F3"/>
    <mergeCell ref="A4:F4"/>
    <mergeCell ref="A6:F6"/>
    <mergeCell ref="A14:F14"/>
    <mergeCell ref="A25:F25"/>
    <mergeCell ref="A37:F37"/>
    <mergeCell ref="A38:F38"/>
    <mergeCell ref="A48:F48"/>
    <mergeCell ref="A59:F59"/>
    <mergeCell ref="A60:F60"/>
  </mergeCells>
  <conditionalFormatting sqref="E16:E65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dataValidations count="1">
    <dataValidation allowBlank="true" error="Choose Pass, Fail, or N/A" errorStyle="stop" errorTitle="Invalid" operator="between" prompt="Pass / Fail / N/A" promptTitle="Result" showDropDown="false" showErrorMessage="false" showInputMessage="false" sqref="E16:E23 E27:E35 E40:E46 E50:E57 E62:E65" type="list">
      <formula1>"Pass,Fail,N/A"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2026-09-19T16:29:36Z</dcterms:created>
  <dc:creator>openpyxl</dc:creator>
  <dc:description/>
  <dc:language>en-US</dc:language>
  <cp:lastModifiedBy/>
  <dcterms:modified xsi:type="dcterms:W3CDTF">2026-09-19T16:29:36Z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